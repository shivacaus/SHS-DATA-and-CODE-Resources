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15\SHS-DATA-and-CODE-Resources\"/>
    </mc:Choice>
  </mc:AlternateContent>
  <xr:revisionPtr revIDLastSave="0" documentId="13_ncr:1_{8EFE5A10-ED8F-4C17-BD9F-25D00343E1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line" sheetId="1" r:id="rId1"/>
    <sheet name="Vaccination" sheetId="2" r:id="rId2"/>
  </sheets>
  <definedNames>
    <definedName name="_xlnm._FilterDatabase" localSheetId="0" hidden="1">Timeline!$A$1:$H$19</definedName>
  </definedNames>
  <calcPr calcId="191029"/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S5" i="2"/>
  <c r="S13" i="2"/>
  <c r="S21" i="2"/>
  <c r="S24" i="2"/>
  <c r="S25" i="2"/>
  <c r="S36" i="2"/>
  <c r="S37" i="2"/>
  <c r="S45" i="2"/>
  <c r="S53" i="2"/>
  <c r="S56" i="2"/>
  <c r="S57" i="2"/>
  <c r="S58" i="2"/>
  <c r="S68" i="2"/>
  <c r="S69" i="2"/>
  <c r="S76" i="2"/>
  <c r="S77" i="2"/>
  <c r="S85" i="2"/>
  <c r="S88" i="2"/>
  <c r="S89" i="2"/>
  <c r="S90" i="2"/>
  <c r="S91" i="2"/>
  <c r="S100" i="2"/>
  <c r="S101" i="2"/>
  <c r="S108" i="2"/>
  <c r="S109" i="2"/>
  <c r="S117" i="2"/>
  <c r="S121" i="2"/>
  <c r="S122" i="2"/>
  <c r="S132" i="2"/>
  <c r="S133" i="2"/>
  <c r="S140" i="2"/>
  <c r="S141" i="2"/>
  <c r="S144" i="2"/>
  <c r="S149" i="2"/>
  <c r="S160" i="2"/>
  <c r="S161" i="2"/>
  <c r="S164" i="2"/>
  <c r="S165" i="2"/>
  <c r="S170" i="2"/>
  <c r="S172" i="2"/>
  <c r="S173" i="2"/>
  <c r="S180" i="2"/>
  <c r="S181" i="2"/>
  <c r="S184" i="2"/>
  <c r="S185" i="2"/>
  <c r="S186" i="2"/>
  <c r="S196" i="2"/>
  <c r="S197" i="2"/>
  <c r="S205" i="2"/>
  <c r="S212" i="2"/>
  <c r="S213" i="2"/>
  <c r="S228" i="2"/>
  <c r="S229" i="2"/>
  <c r="S236" i="2"/>
  <c r="S237" i="2"/>
  <c r="S244" i="2"/>
  <c r="S245" i="2"/>
  <c r="S256" i="2"/>
  <c r="S257" i="2"/>
  <c r="S258" i="2"/>
  <c r="S259" i="2"/>
  <c r="S261" i="2"/>
  <c r="S268" i="2"/>
  <c r="S269" i="2"/>
  <c r="S272" i="2"/>
  <c r="S273" i="2"/>
  <c r="S277" i="2"/>
  <c r="S282" i="2"/>
  <c r="S283" i="2"/>
  <c r="S292" i="2"/>
  <c r="S293" i="2"/>
  <c r="S300" i="2"/>
  <c r="S301" i="2"/>
  <c r="S308" i="2"/>
  <c r="S309" i="2"/>
  <c r="S324" i="2"/>
  <c r="S325" i="2"/>
  <c r="S333" i="2"/>
  <c r="S340" i="2"/>
  <c r="S341" i="2"/>
  <c r="S344" i="2"/>
  <c r="S345" i="2"/>
  <c r="S354" i="2"/>
  <c r="S356" i="2"/>
  <c r="S357" i="2"/>
  <c r="S364" i="2"/>
  <c r="S365" i="2"/>
  <c r="S368" i="2"/>
  <c r="S369" i="2"/>
  <c r="S372" i="2"/>
  <c r="S373" i="2"/>
  <c r="S389" i="2"/>
  <c r="S396" i="2"/>
  <c r="S397" i="2"/>
  <c r="S405" i="2"/>
  <c r="S416" i="2"/>
  <c r="S417" i="2"/>
  <c r="S420" i="2"/>
  <c r="S421" i="2"/>
  <c r="S428" i="2"/>
  <c r="S429" i="2"/>
  <c r="S436" i="2"/>
  <c r="S437" i="2"/>
  <c r="S440" i="2"/>
  <c r="S452" i="2"/>
  <c r="S453" i="2"/>
  <c r="S458" i="2"/>
  <c r="S459" i="2"/>
  <c r="S461" i="2"/>
  <c r="S468" i="2"/>
  <c r="S469" i="2"/>
  <c r="S484" i="2"/>
  <c r="S485" i="2"/>
  <c r="S492" i="2"/>
  <c r="S493" i="2"/>
  <c r="S500" i="2"/>
  <c r="S501" i="2"/>
  <c r="S512" i="2"/>
  <c r="S513" i="2"/>
  <c r="S517" i="2"/>
  <c r="S524" i="2"/>
  <c r="S525" i="2"/>
  <c r="S528" i="2"/>
  <c r="S529" i="2"/>
  <c r="S533" i="2"/>
  <c r="S548" i="2"/>
  <c r="S549" i="2"/>
  <c r="S554" i="2"/>
  <c r="S555" i="2"/>
  <c r="S556" i="2"/>
  <c r="S557" i="2"/>
  <c r="S564" i="2"/>
  <c r="S565" i="2"/>
  <c r="S568" i="2"/>
  <c r="S569" i="2"/>
  <c r="S570" i="2"/>
  <c r="S571" i="2"/>
  <c r="S580" i="2"/>
  <c r="S581" i="2"/>
  <c r="S589" i="2"/>
  <c r="S596" i="2"/>
  <c r="S597" i="2"/>
  <c r="S600" i="2"/>
  <c r="S612" i="2"/>
  <c r="S613" i="2"/>
  <c r="S620" i="2"/>
  <c r="S621" i="2"/>
  <c r="S624" i="2"/>
  <c r="S628" i="2"/>
  <c r="S629" i="2"/>
  <c r="S640" i="2"/>
  <c r="S641" i="2"/>
  <c r="S642" i="2"/>
  <c r="S643" i="2"/>
  <c r="S645" i="2"/>
  <c r="S652" i="2"/>
  <c r="S653" i="2"/>
  <c r="S661" i="2"/>
  <c r="S666" i="2"/>
  <c r="S667" i="2"/>
  <c r="S672" i="2"/>
  <c r="S676" i="2"/>
  <c r="S677" i="2"/>
  <c r="S684" i="2"/>
  <c r="S685" i="2"/>
  <c r="S686" i="2"/>
  <c r="S692" i="2"/>
  <c r="S693" i="2"/>
  <c r="S694" i="2"/>
  <c r="S695" i="2"/>
  <c r="S700" i="2"/>
  <c r="S701" i="2"/>
  <c r="S702" i="2"/>
  <c r="S703" i="2"/>
  <c r="S709" i="2"/>
  <c r="S710" i="2"/>
  <c r="S716" i="2"/>
  <c r="S717" i="2"/>
  <c r="S718" i="2"/>
  <c r="S724" i="2"/>
  <c r="S725" i="2"/>
  <c r="S726" i="2"/>
  <c r="S727" i="2"/>
  <c r="S732" i="2"/>
  <c r="S733" i="2"/>
  <c r="S734" i="2"/>
  <c r="S741" i="2"/>
  <c r="S742" i="2"/>
  <c r="S746" i="2"/>
  <c r="S747" i="2"/>
  <c r="S748" i="2"/>
  <c r="S749" i="2"/>
  <c r="S750" i="2"/>
  <c r="S756" i="2"/>
  <c r="S757" i="2"/>
  <c r="S758" i="2"/>
  <c r="S759" i="2"/>
  <c r="S764" i="2"/>
  <c r="S765" i="2"/>
  <c r="S766" i="2"/>
  <c r="S773" i="2"/>
  <c r="S774" i="2"/>
  <c r="S778" i="2"/>
  <c r="S779" i="2"/>
  <c r="S780" i="2"/>
  <c r="S781" i="2"/>
  <c r="S782" i="2"/>
  <c r="S788" i="2"/>
  <c r="S789" i="2"/>
  <c r="S790" i="2"/>
  <c r="S791" i="2"/>
  <c r="S796" i="2"/>
  <c r="S797" i="2"/>
  <c r="S798" i="2"/>
  <c r="S799" i="2"/>
  <c r="S805" i="2"/>
  <c r="S806" i="2"/>
  <c r="S810" i="2"/>
  <c r="S812" i="2"/>
  <c r="S813" i="2"/>
  <c r="S814" i="2"/>
  <c r="S820" i="2"/>
  <c r="S821" i="2"/>
  <c r="S822" i="2"/>
  <c r="S823" i="2"/>
  <c r="S828" i="2"/>
  <c r="S829" i="2"/>
  <c r="S830" i="2"/>
  <c r="S831" i="2"/>
  <c r="S837" i="2"/>
  <c r="S838" i="2"/>
  <c r="S844" i="2"/>
  <c r="S845" i="2"/>
  <c r="S846" i="2"/>
  <c r="S852" i="2"/>
  <c r="S853" i="2"/>
  <c r="S854" i="2"/>
  <c r="S860" i="2"/>
  <c r="S861" i="2"/>
  <c r="S862" i="2"/>
  <c r="S863" i="2"/>
  <c r="S866" i="2"/>
  <c r="S867" i="2"/>
  <c r="S869" i="2"/>
  <c r="S870" i="2"/>
  <c r="S876" i="2"/>
  <c r="S877" i="2"/>
  <c r="S878" i="2"/>
  <c r="S884" i="2"/>
  <c r="S885" i="2"/>
  <c r="S886" i="2"/>
  <c r="S892" i="2"/>
  <c r="S893" i="2"/>
  <c r="S894" i="2"/>
  <c r="S895" i="2"/>
  <c r="S898" i="2"/>
  <c r="S899" i="2"/>
  <c r="S901" i="2"/>
  <c r="S902" i="2"/>
  <c r="S908" i="2"/>
  <c r="S909" i="2"/>
  <c r="S910" i="2"/>
  <c r="S916" i="2"/>
  <c r="S917" i="2"/>
  <c r="S918" i="2"/>
  <c r="S919" i="2"/>
  <c r="S924" i="2"/>
  <c r="S925" i="2"/>
  <c r="S926" i="2"/>
  <c r="S927" i="2"/>
  <c r="S930" i="2"/>
  <c r="S933" i="2"/>
  <c r="S934" i="2"/>
  <c r="S940" i="2"/>
  <c r="S941" i="2"/>
  <c r="S942" i="2"/>
  <c r="S948" i="2"/>
  <c r="S949" i="2"/>
  <c r="S950" i="2"/>
  <c r="S951" i="2"/>
  <c r="S956" i="2"/>
  <c r="S957" i="2"/>
  <c r="S958" i="2"/>
  <c r="S959" i="2"/>
  <c r="S965" i="2"/>
  <c r="S966" i="2"/>
  <c r="S972" i="2"/>
  <c r="S973" i="2"/>
  <c r="S974" i="2"/>
  <c r="S980" i="2"/>
  <c r="S981" i="2"/>
  <c r="S982" i="2"/>
  <c r="S983" i="2"/>
  <c r="S988" i="2"/>
  <c r="S989" i="2"/>
  <c r="S990" i="2"/>
  <c r="S997" i="2"/>
  <c r="S998" i="2"/>
  <c r="S1002" i="2"/>
  <c r="S1003" i="2"/>
  <c r="S1004" i="2"/>
  <c r="S1005" i="2"/>
  <c r="S1006" i="2"/>
  <c r="S1012" i="2"/>
  <c r="S1013" i="2"/>
  <c r="S1014" i="2"/>
  <c r="S1015" i="2"/>
  <c r="S1020" i="2"/>
  <c r="S1021" i="2"/>
  <c r="S1022" i="2"/>
  <c r="S1029" i="2"/>
  <c r="S1030" i="2"/>
  <c r="S1034" i="2"/>
  <c r="S1035" i="2"/>
  <c r="S1036" i="2"/>
  <c r="S1037" i="2"/>
  <c r="S1038" i="2"/>
  <c r="S1044" i="2"/>
  <c r="S1045" i="2"/>
  <c r="S1046" i="2"/>
  <c r="S1047" i="2"/>
  <c r="S1052" i="2"/>
  <c r="S1053" i="2"/>
  <c r="S1054" i="2"/>
  <c r="S1055" i="2"/>
  <c r="S1061" i="2"/>
  <c r="S1062" i="2"/>
  <c r="S1066" i="2"/>
  <c r="S1068" i="2"/>
  <c r="S1069" i="2"/>
  <c r="S1070" i="2"/>
  <c r="S1076" i="2"/>
  <c r="S1077" i="2"/>
  <c r="S1078" i="2"/>
  <c r="S1079" i="2"/>
  <c r="S1084" i="2"/>
  <c r="S1085" i="2"/>
  <c r="S1086" i="2"/>
  <c r="S1087" i="2"/>
  <c r="S1093" i="2"/>
  <c r="S1094" i="2"/>
  <c r="S1100" i="2"/>
  <c r="S1101" i="2"/>
  <c r="S1102" i="2"/>
  <c r="S1108" i="2"/>
  <c r="S1109" i="2"/>
  <c r="S1110" i="2"/>
  <c r="S1116" i="2"/>
  <c r="S1117" i="2"/>
  <c r="S1118" i="2"/>
  <c r="S1119" i="2"/>
  <c r="S1122" i="2"/>
  <c r="S1123" i="2"/>
  <c r="S1125" i="2"/>
  <c r="S1126" i="2"/>
  <c r="S1132" i="2"/>
  <c r="S1133" i="2"/>
  <c r="S1134" i="2"/>
  <c r="S1140" i="2"/>
  <c r="S1141" i="2"/>
  <c r="S1142" i="2"/>
  <c r="S1148" i="2"/>
  <c r="S1149" i="2"/>
  <c r="S1150" i="2"/>
  <c r="S1151" i="2"/>
  <c r="S1154" i="2"/>
  <c r="S1155" i="2"/>
  <c r="S1157" i="2"/>
  <c r="S1158" i="2"/>
  <c r="S1164" i="2"/>
  <c r="S1165" i="2"/>
  <c r="S1166" i="2"/>
  <c r="S1172" i="2"/>
  <c r="S1173" i="2"/>
  <c r="S1174" i="2"/>
  <c r="S1175" i="2"/>
  <c r="S1180" i="2"/>
  <c r="S1181" i="2"/>
  <c r="S1182" i="2"/>
  <c r="S1183" i="2"/>
  <c r="S1186" i="2"/>
  <c r="S1189" i="2"/>
  <c r="S1190" i="2"/>
  <c r="S1196" i="2"/>
  <c r="S1197" i="2"/>
  <c r="S1198" i="2"/>
  <c r="S1204" i="2"/>
  <c r="S1205" i="2"/>
  <c r="S1206" i="2"/>
  <c r="S1207" i="2"/>
  <c r="S1212" i="2"/>
  <c r="S1213" i="2"/>
  <c r="S1214" i="2"/>
  <c r="S1215" i="2"/>
  <c r="S1221" i="2"/>
  <c r="S1222" i="2"/>
  <c r="S1228" i="2"/>
  <c r="S1229" i="2"/>
  <c r="S1230" i="2"/>
  <c r="S1236" i="2"/>
  <c r="S1237" i="2"/>
  <c r="S1238" i="2"/>
  <c r="S1239" i="2"/>
  <c r="S1244" i="2"/>
  <c r="S1245" i="2"/>
  <c r="S1246" i="2"/>
  <c r="S1253" i="2"/>
  <c r="S1254" i="2"/>
  <c r="S1258" i="2"/>
  <c r="S1259" i="2"/>
  <c r="S1260" i="2"/>
  <c r="S1261" i="2"/>
  <c r="S1262" i="2"/>
  <c r="S1268" i="2"/>
  <c r="S1269" i="2"/>
  <c r="S1270" i="2"/>
  <c r="S1271" i="2"/>
  <c r="S1276" i="2"/>
  <c r="S1277" i="2"/>
  <c r="S1278" i="2"/>
  <c r="S1285" i="2"/>
  <c r="S1286" i="2"/>
  <c r="S1290" i="2"/>
  <c r="S1291" i="2"/>
  <c r="S1292" i="2"/>
  <c r="S1293" i="2"/>
  <c r="S1294" i="2"/>
  <c r="S1300" i="2"/>
  <c r="S1301" i="2"/>
  <c r="S1302" i="2"/>
  <c r="S1303" i="2"/>
  <c r="S1308" i="2"/>
  <c r="S1309" i="2"/>
  <c r="S1310" i="2"/>
  <c r="S1311" i="2"/>
  <c r="S1317" i="2"/>
  <c r="S1318" i="2"/>
  <c r="S1322" i="2"/>
  <c r="S1324" i="2"/>
  <c r="S1325" i="2"/>
  <c r="S1326" i="2"/>
  <c r="S1332" i="2"/>
  <c r="S1333" i="2"/>
  <c r="S1334" i="2"/>
  <c r="S1335" i="2"/>
  <c r="S1340" i="2"/>
  <c r="S1341" i="2"/>
  <c r="S1342" i="2"/>
  <c r="S1343" i="2"/>
  <c r="S1349" i="2"/>
  <c r="S1350" i="2"/>
  <c r="S1356" i="2"/>
  <c r="S1357" i="2"/>
  <c r="S1358" i="2"/>
  <c r="S1364" i="2"/>
  <c r="S1365" i="2"/>
  <c r="S1366" i="2"/>
  <c r="S1372" i="2"/>
  <c r="S1373" i="2"/>
  <c r="S1374" i="2"/>
  <c r="S1375" i="2"/>
  <c r="S1378" i="2"/>
  <c r="S1379" i="2"/>
  <c r="S1381" i="2"/>
  <c r="S1382" i="2"/>
  <c r="S1388" i="2"/>
  <c r="S1389" i="2"/>
  <c r="S1390" i="2"/>
  <c r="S1396" i="2"/>
  <c r="S1397" i="2"/>
  <c r="S1398" i="2"/>
  <c r="S1404" i="2"/>
  <c r="S1405" i="2"/>
  <c r="S1406" i="2"/>
  <c r="S1407" i="2"/>
  <c r="S1410" i="2"/>
  <c r="S1411" i="2"/>
  <c r="S1413" i="2"/>
  <c r="S1414" i="2"/>
  <c r="S1415" i="2"/>
  <c r="S1420" i="2"/>
  <c r="S1421" i="2"/>
  <c r="S1422" i="2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R22" i="2"/>
  <c r="S22" i="2" s="1"/>
  <c r="R23" i="2"/>
  <c r="S23" i="2" s="1"/>
  <c r="R24" i="2"/>
  <c r="R25" i="2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R37" i="2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R54" i="2"/>
  <c r="S54" i="2" s="1"/>
  <c r="R55" i="2"/>
  <c r="S55" i="2" s="1"/>
  <c r="R56" i="2"/>
  <c r="R57" i="2"/>
  <c r="R58" i="2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R69" i="2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R77" i="2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R86" i="2"/>
  <c r="S86" i="2" s="1"/>
  <c r="R87" i="2"/>
  <c r="S87" i="2" s="1"/>
  <c r="R88" i="2"/>
  <c r="R89" i="2"/>
  <c r="R90" i="2"/>
  <c r="R91" i="2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R101" i="2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R109" i="2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R118" i="2"/>
  <c r="S118" i="2" s="1"/>
  <c r="R119" i="2"/>
  <c r="S119" i="2" s="1"/>
  <c r="R120" i="2"/>
  <c r="S120" i="2" s="1"/>
  <c r="R121" i="2"/>
  <c r="R122" i="2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R133" i="2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R141" i="2"/>
  <c r="R142" i="2"/>
  <c r="S142" i="2" s="1"/>
  <c r="R143" i="2"/>
  <c r="S143" i="2" s="1"/>
  <c r="R144" i="2"/>
  <c r="R145" i="2"/>
  <c r="S145" i="2" s="1"/>
  <c r="R146" i="2"/>
  <c r="S146" i="2" s="1"/>
  <c r="R147" i="2"/>
  <c r="S147" i="2" s="1"/>
  <c r="R148" i="2"/>
  <c r="S148" i="2" s="1"/>
  <c r="R149" i="2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R161" i="2"/>
  <c r="R162" i="2"/>
  <c r="S162" i="2" s="1"/>
  <c r="R163" i="2"/>
  <c r="S163" i="2" s="1"/>
  <c r="R164" i="2"/>
  <c r="R165" i="2"/>
  <c r="R166" i="2"/>
  <c r="S166" i="2" s="1"/>
  <c r="R167" i="2"/>
  <c r="S167" i="2" s="1"/>
  <c r="R168" i="2"/>
  <c r="S168" i="2" s="1"/>
  <c r="R169" i="2"/>
  <c r="S169" i="2" s="1"/>
  <c r="R170" i="2"/>
  <c r="R171" i="2"/>
  <c r="S171" i="2" s="1"/>
  <c r="R172" i="2"/>
  <c r="R173" i="2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R181" i="2"/>
  <c r="R182" i="2"/>
  <c r="S182" i="2" s="1"/>
  <c r="R183" i="2"/>
  <c r="S183" i="2" s="1"/>
  <c r="R184" i="2"/>
  <c r="R185" i="2"/>
  <c r="R186" i="2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R197" i="2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R213" i="2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R229" i="2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R237" i="2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R245" i="2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R257" i="2"/>
  <c r="R258" i="2"/>
  <c r="R259" i="2"/>
  <c r="R260" i="2"/>
  <c r="S260" i="2" s="1"/>
  <c r="R261" i="2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R269" i="2"/>
  <c r="R270" i="2"/>
  <c r="S270" i="2" s="1"/>
  <c r="R271" i="2"/>
  <c r="S271" i="2" s="1"/>
  <c r="R272" i="2"/>
  <c r="R273" i="2"/>
  <c r="R274" i="2"/>
  <c r="S274" i="2" s="1"/>
  <c r="R275" i="2"/>
  <c r="S275" i="2" s="1"/>
  <c r="R276" i="2"/>
  <c r="S276" i="2" s="1"/>
  <c r="R277" i="2"/>
  <c r="R278" i="2"/>
  <c r="S278" i="2" s="1"/>
  <c r="R279" i="2"/>
  <c r="S279" i="2" s="1"/>
  <c r="R280" i="2"/>
  <c r="S280" i="2" s="1"/>
  <c r="R281" i="2"/>
  <c r="S281" i="2" s="1"/>
  <c r="R282" i="2"/>
  <c r="R283" i="2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R293" i="2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R301" i="2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R309" i="2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R325" i="2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R341" i="2"/>
  <c r="R342" i="2"/>
  <c r="S342" i="2" s="1"/>
  <c r="R343" i="2"/>
  <c r="S343" i="2" s="1"/>
  <c r="R344" i="2"/>
  <c r="R345" i="2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R355" i="2"/>
  <c r="S355" i="2" s="1"/>
  <c r="R356" i="2"/>
  <c r="R357" i="2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R365" i="2"/>
  <c r="R366" i="2"/>
  <c r="S366" i="2" s="1"/>
  <c r="R367" i="2"/>
  <c r="S367" i="2" s="1"/>
  <c r="R368" i="2"/>
  <c r="R369" i="2"/>
  <c r="R370" i="2"/>
  <c r="S370" i="2" s="1"/>
  <c r="R371" i="2"/>
  <c r="S371" i="2" s="1"/>
  <c r="R372" i="2"/>
  <c r="R373" i="2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R397" i="2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R417" i="2"/>
  <c r="R418" i="2"/>
  <c r="S418" i="2" s="1"/>
  <c r="R419" i="2"/>
  <c r="S419" i="2" s="1"/>
  <c r="R420" i="2"/>
  <c r="R421" i="2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R429" i="2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R437" i="2"/>
  <c r="R438" i="2"/>
  <c r="S438" i="2" s="1"/>
  <c r="R439" i="2"/>
  <c r="S439" i="2" s="1"/>
  <c r="R440" i="2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R453" i="2"/>
  <c r="R454" i="2"/>
  <c r="S454" i="2" s="1"/>
  <c r="R455" i="2"/>
  <c r="S455" i="2" s="1"/>
  <c r="R456" i="2"/>
  <c r="S456" i="2" s="1"/>
  <c r="R457" i="2"/>
  <c r="S457" i="2" s="1"/>
  <c r="R458" i="2"/>
  <c r="R459" i="2"/>
  <c r="R460" i="2"/>
  <c r="S460" i="2" s="1"/>
  <c r="R461" i="2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R469" i="2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S483" i="2" s="1"/>
  <c r="R484" i="2"/>
  <c r="R485" i="2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R493" i="2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R501" i="2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R513" i="2"/>
  <c r="R514" i="2"/>
  <c r="S514" i="2" s="1"/>
  <c r="R515" i="2"/>
  <c r="S515" i="2" s="1"/>
  <c r="R516" i="2"/>
  <c r="S516" i="2" s="1"/>
  <c r="R517" i="2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R525" i="2"/>
  <c r="R526" i="2"/>
  <c r="S526" i="2" s="1"/>
  <c r="R527" i="2"/>
  <c r="S527" i="2" s="1"/>
  <c r="R528" i="2"/>
  <c r="R529" i="2"/>
  <c r="R530" i="2"/>
  <c r="S530" i="2" s="1"/>
  <c r="R531" i="2"/>
  <c r="S531" i="2" s="1"/>
  <c r="R532" i="2"/>
  <c r="S532" i="2" s="1"/>
  <c r="R533" i="2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R549" i="2"/>
  <c r="R550" i="2"/>
  <c r="S550" i="2" s="1"/>
  <c r="R551" i="2"/>
  <c r="S551" i="2" s="1"/>
  <c r="R552" i="2"/>
  <c r="S552" i="2" s="1"/>
  <c r="R553" i="2"/>
  <c r="S553" i="2" s="1"/>
  <c r="R554" i="2"/>
  <c r="R555" i="2"/>
  <c r="R556" i="2"/>
  <c r="R557" i="2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R565" i="2"/>
  <c r="R566" i="2"/>
  <c r="S566" i="2" s="1"/>
  <c r="R567" i="2"/>
  <c r="S567" i="2" s="1"/>
  <c r="R568" i="2"/>
  <c r="R569" i="2"/>
  <c r="R570" i="2"/>
  <c r="R571" i="2"/>
  <c r="R572" i="2"/>
  <c r="S572" i="2" s="1"/>
  <c r="R573" i="2"/>
  <c r="S573" i="2" s="1"/>
  <c r="R574" i="2"/>
  <c r="S574" i="2" s="1"/>
  <c r="R575" i="2"/>
  <c r="S575" i="2" s="1"/>
  <c r="R576" i="2"/>
  <c r="S576" i="2" s="1"/>
  <c r="R577" i="2"/>
  <c r="S577" i="2" s="1"/>
  <c r="R578" i="2"/>
  <c r="S578" i="2" s="1"/>
  <c r="R579" i="2"/>
  <c r="S579" i="2" s="1"/>
  <c r="R580" i="2"/>
  <c r="R581" i="2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R597" i="2"/>
  <c r="R598" i="2"/>
  <c r="S598" i="2" s="1"/>
  <c r="R599" i="2"/>
  <c r="S599" i="2" s="1"/>
  <c r="R600" i="2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R613" i="2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R621" i="2"/>
  <c r="R622" i="2"/>
  <c r="S622" i="2" s="1"/>
  <c r="R623" i="2"/>
  <c r="S623" i="2" s="1"/>
  <c r="R624" i="2"/>
  <c r="R625" i="2"/>
  <c r="S625" i="2" s="1"/>
  <c r="R626" i="2"/>
  <c r="S626" i="2" s="1"/>
  <c r="R627" i="2"/>
  <c r="S627" i="2" s="1"/>
  <c r="R628" i="2"/>
  <c r="R629" i="2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R641" i="2"/>
  <c r="R642" i="2"/>
  <c r="R643" i="2"/>
  <c r="R644" i="2"/>
  <c r="S644" i="2" s="1"/>
  <c r="R645" i="2"/>
  <c r="R646" i="2"/>
  <c r="S646" i="2" s="1"/>
  <c r="R647" i="2"/>
  <c r="S647" i="2" s="1"/>
  <c r="R648" i="2"/>
  <c r="S648" i="2" s="1"/>
  <c r="R649" i="2"/>
  <c r="S649" i="2" s="1"/>
  <c r="R650" i="2"/>
  <c r="S650" i="2" s="1"/>
  <c r="R651" i="2"/>
  <c r="S651" i="2" s="1"/>
  <c r="R652" i="2"/>
  <c r="R653" i="2"/>
  <c r="R654" i="2"/>
  <c r="S654" i="2" s="1"/>
  <c r="R655" i="2"/>
  <c r="S655" i="2" s="1"/>
  <c r="R656" i="2"/>
  <c r="S656" i="2" s="1"/>
  <c r="R657" i="2"/>
  <c r="S657" i="2" s="1"/>
  <c r="R658" i="2"/>
  <c r="S658" i="2" s="1"/>
  <c r="R659" i="2"/>
  <c r="S659" i="2" s="1"/>
  <c r="R660" i="2"/>
  <c r="S660" i="2" s="1"/>
  <c r="R661" i="2"/>
  <c r="R662" i="2"/>
  <c r="S662" i="2" s="1"/>
  <c r="R663" i="2"/>
  <c r="S663" i="2" s="1"/>
  <c r="R664" i="2"/>
  <c r="S664" i="2" s="1"/>
  <c r="R665" i="2"/>
  <c r="S665" i="2" s="1"/>
  <c r="R666" i="2"/>
  <c r="R667" i="2"/>
  <c r="R668" i="2"/>
  <c r="S668" i="2" s="1"/>
  <c r="R669" i="2"/>
  <c r="S669" i="2" s="1"/>
  <c r="R670" i="2"/>
  <c r="S670" i="2" s="1"/>
  <c r="R671" i="2"/>
  <c r="S671" i="2" s="1"/>
  <c r="R672" i="2"/>
  <c r="R673" i="2"/>
  <c r="S673" i="2" s="1"/>
  <c r="R674" i="2"/>
  <c r="S674" i="2" s="1"/>
  <c r="R675" i="2"/>
  <c r="S675" i="2" s="1"/>
  <c r="R676" i="2"/>
  <c r="R677" i="2"/>
  <c r="R678" i="2"/>
  <c r="S678" i="2" s="1"/>
  <c r="R679" i="2"/>
  <c r="S679" i="2" s="1"/>
  <c r="R680" i="2"/>
  <c r="S680" i="2" s="1"/>
  <c r="R681" i="2"/>
  <c r="S681" i="2" s="1"/>
  <c r="R682" i="2"/>
  <c r="S682" i="2" s="1"/>
  <c r="R683" i="2"/>
  <c r="S683" i="2" s="1"/>
  <c r="R684" i="2"/>
  <c r="R685" i="2"/>
  <c r="R686" i="2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R693" i="2"/>
  <c r="R694" i="2"/>
  <c r="R695" i="2"/>
  <c r="R696" i="2"/>
  <c r="S696" i="2" s="1"/>
  <c r="R697" i="2"/>
  <c r="S697" i="2" s="1"/>
  <c r="R698" i="2"/>
  <c r="S698" i="2" s="1"/>
  <c r="R699" i="2"/>
  <c r="S699" i="2" s="1"/>
  <c r="R700" i="2"/>
  <c r="R701" i="2"/>
  <c r="R702" i="2"/>
  <c r="R703" i="2"/>
  <c r="R704" i="2"/>
  <c r="S704" i="2" s="1"/>
  <c r="R705" i="2"/>
  <c r="S705" i="2" s="1"/>
  <c r="R706" i="2"/>
  <c r="S706" i="2" s="1"/>
  <c r="R707" i="2"/>
  <c r="S707" i="2" s="1"/>
  <c r="R708" i="2"/>
  <c r="S708" i="2" s="1"/>
  <c r="R709" i="2"/>
  <c r="R710" i="2"/>
  <c r="R711" i="2"/>
  <c r="S711" i="2" s="1"/>
  <c r="R712" i="2"/>
  <c r="S712" i="2" s="1"/>
  <c r="R713" i="2"/>
  <c r="S713" i="2" s="1"/>
  <c r="R714" i="2"/>
  <c r="S714" i="2" s="1"/>
  <c r="R715" i="2"/>
  <c r="S715" i="2" s="1"/>
  <c r="R716" i="2"/>
  <c r="R717" i="2"/>
  <c r="R718" i="2"/>
  <c r="R719" i="2"/>
  <c r="S719" i="2" s="1"/>
  <c r="R720" i="2"/>
  <c r="S720" i="2" s="1"/>
  <c r="R721" i="2"/>
  <c r="S721" i="2" s="1"/>
  <c r="R722" i="2"/>
  <c r="S722" i="2" s="1"/>
  <c r="R723" i="2"/>
  <c r="S723" i="2" s="1"/>
  <c r="R724" i="2"/>
  <c r="R725" i="2"/>
  <c r="R726" i="2"/>
  <c r="R727" i="2"/>
  <c r="R728" i="2"/>
  <c r="S728" i="2" s="1"/>
  <c r="R729" i="2"/>
  <c r="S729" i="2" s="1"/>
  <c r="R730" i="2"/>
  <c r="S730" i="2" s="1"/>
  <c r="R731" i="2"/>
  <c r="S731" i="2" s="1"/>
  <c r="R732" i="2"/>
  <c r="R733" i="2"/>
  <c r="R734" i="2"/>
  <c r="R735" i="2"/>
  <c r="S735" i="2" s="1"/>
  <c r="R736" i="2"/>
  <c r="S736" i="2" s="1"/>
  <c r="R737" i="2"/>
  <c r="S737" i="2" s="1"/>
  <c r="R738" i="2"/>
  <c r="S738" i="2" s="1"/>
  <c r="R739" i="2"/>
  <c r="S739" i="2" s="1"/>
  <c r="R740" i="2"/>
  <c r="S740" i="2" s="1"/>
  <c r="R741" i="2"/>
  <c r="R742" i="2"/>
  <c r="R743" i="2"/>
  <c r="S743" i="2" s="1"/>
  <c r="R744" i="2"/>
  <c r="S744" i="2" s="1"/>
  <c r="R745" i="2"/>
  <c r="S745" i="2" s="1"/>
  <c r="R746" i="2"/>
  <c r="R747" i="2"/>
  <c r="R748" i="2"/>
  <c r="R749" i="2"/>
  <c r="R750" i="2"/>
  <c r="R751" i="2"/>
  <c r="S751" i="2" s="1"/>
  <c r="R752" i="2"/>
  <c r="S752" i="2" s="1"/>
  <c r="R753" i="2"/>
  <c r="S753" i="2" s="1"/>
  <c r="R754" i="2"/>
  <c r="S754" i="2" s="1"/>
  <c r="R755" i="2"/>
  <c r="S755" i="2" s="1"/>
  <c r="R756" i="2"/>
  <c r="R757" i="2"/>
  <c r="R758" i="2"/>
  <c r="R759" i="2"/>
  <c r="R760" i="2"/>
  <c r="S760" i="2" s="1"/>
  <c r="R761" i="2"/>
  <c r="S761" i="2" s="1"/>
  <c r="R762" i="2"/>
  <c r="S762" i="2" s="1"/>
  <c r="R763" i="2"/>
  <c r="S763" i="2" s="1"/>
  <c r="R764" i="2"/>
  <c r="R765" i="2"/>
  <c r="R766" i="2"/>
  <c r="R767" i="2"/>
  <c r="S767" i="2" s="1"/>
  <c r="R768" i="2"/>
  <c r="S768" i="2" s="1"/>
  <c r="R769" i="2"/>
  <c r="S769" i="2" s="1"/>
  <c r="R770" i="2"/>
  <c r="S770" i="2" s="1"/>
  <c r="R771" i="2"/>
  <c r="S771" i="2" s="1"/>
  <c r="R772" i="2"/>
  <c r="S772" i="2" s="1"/>
  <c r="R773" i="2"/>
  <c r="R774" i="2"/>
  <c r="R775" i="2"/>
  <c r="S775" i="2" s="1"/>
  <c r="R776" i="2"/>
  <c r="S776" i="2" s="1"/>
  <c r="R777" i="2"/>
  <c r="S777" i="2" s="1"/>
  <c r="R778" i="2"/>
  <c r="R779" i="2"/>
  <c r="R780" i="2"/>
  <c r="R781" i="2"/>
  <c r="R782" i="2"/>
  <c r="R783" i="2"/>
  <c r="S783" i="2" s="1"/>
  <c r="R784" i="2"/>
  <c r="S784" i="2" s="1"/>
  <c r="R785" i="2"/>
  <c r="S785" i="2" s="1"/>
  <c r="R786" i="2"/>
  <c r="S786" i="2" s="1"/>
  <c r="R787" i="2"/>
  <c r="S787" i="2" s="1"/>
  <c r="R788" i="2"/>
  <c r="R789" i="2"/>
  <c r="R790" i="2"/>
  <c r="R791" i="2"/>
  <c r="R792" i="2"/>
  <c r="S792" i="2" s="1"/>
  <c r="R793" i="2"/>
  <c r="S793" i="2" s="1"/>
  <c r="R794" i="2"/>
  <c r="S794" i="2" s="1"/>
  <c r="R795" i="2"/>
  <c r="S795" i="2" s="1"/>
  <c r="R796" i="2"/>
  <c r="R797" i="2"/>
  <c r="R798" i="2"/>
  <c r="R799" i="2"/>
  <c r="R800" i="2"/>
  <c r="S800" i="2" s="1"/>
  <c r="R801" i="2"/>
  <c r="S801" i="2" s="1"/>
  <c r="R802" i="2"/>
  <c r="S802" i="2" s="1"/>
  <c r="R803" i="2"/>
  <c r="S803" i="2" s="1"/>
  <c r="R804" i="2"/>
  <c r="S804" i="2" s="1"/>
  <c r="R805" i="2"/>
  <c r="R806" i="2"/>
  <c r="R807" i="2"/>
  <c r="S807" i="2" s="1"/>
  <c r="R808" i="2"/>
  <c r="S808" i="2" s="1"/>
  <c r="R809" i="2"/>
  <c r="S809" i="2" s="1"/>
  <c r="R810" i="2"/>
  <c r="R811" i="2"/>
  <c r="S811" i="2" s="1"/>
  <c r="R812" i="2"/>
  <c r="R813" i="2"/>
  <c r="R814" i="2"/>
  <c r="R815" i="2"/>
  <c r="S815" i="2" s="1"/>
  <c r="R816" i="2"/>
  <c r="S816" i="2" s="1"/>
  <c r="R817" i="2"/>
  <c r="S817" i="2" s="1"/>
  <c r="R818" i="2"/>
  <c r="S818" i="2" s="1"/>
  <c r="R819" i="2"/>
  <c r="S819" i="2" s="1"/>
  <c r="R820" i="2"/>
  <c r="R821" i="2"/>
  <c r="R822" i="2"/>
  <c r="R823" i="2"/>
  <c r="R824" i="2"/>
  <c r="S824" i="2" s="1"/>
  <c r="R825" i="2"/>
  <c r="S825" i="2" s="1"/>
  <c r="R826" i="2"/>
  <c r="S826" i="2" s="1"/>
  <c r="R827" i="2"/>
  <c r="S827" i="2" s="1"/>
  <c r="R828" i="2"/>
  <c r="R829" i="2"/>
  <c r="R830" i="2"/>
  <c r="R831" i="2"/>
  <c r="R832" i="2"/>
  <c r="S832" i="2" s="1"/>
  <c r="R833" i="2"/>
  <c r="S833" i="2" s="1"/>
  <c r="R834" i="2"/>
  <c r="S834" i="2" s="1"/>
  <c r="R835" i="2"/>
  <c r="S835" i="2" s="1"/>
  <c r="R836" i="2"/>
  <c r="S836" i="2" s="1"/>
  <c r="R837" i="2"/>
  <c r="R838" i="2"/>
  <c r="R839" i="2"/>
  <c r="S839" i="2" s="1"/>
  <c r="R840" i="2"/>
  <c r="S840" i="2" s="1"/>
  <c r="R841" i="2"/>
  <c r="S841" i="2" s="1"/>
  <c r="R842" i="2"/>
  <c r="S842" i="2" s="1"/>
  <c r="R843" i="2"/>
  <c r="S843" i="2" s="1"/>
  <c r="R844" i="2"/>
  <c r="R845" i="2"/>
  <c r="R846" i="2"/>
  <c r="R847" i="2"/>
  <c r="S847" i="2" s="1"/>
  <c r="R848" i="2"/>
  <c r="S848" i="2" s="1"/>
  <c r="R849" i="2"/>
  <c r="S849" i="2" s="1"/>
  <c r="R850" i="2"/>
  <c r="S850" i="2" s="1"/>
  <c r="R851" i="2"/>
  <c r="S851" i="2" s="1"/>
  <c r="R852" i="2"/>
  <c r="R853" i="2"/>
  <c r="R854" i="2"/>
  <c r="R855" i="2"/>
  <c r="S855" i="2" s="1"/>
  <c r="R856" i="2"/>
  <c r="S856" i="2" s="1"/>
  <c r="R857" i="2"/>
  <c r="S857" i="2" s="1"/>
  <c r="R858" i="2"/>
  <c r="S858" i="2" s="1"/>
  <c r="R859" i="2"/>
  <c r="S859" i="2" s="1"/>
  <c r="R860" i="2"/>
  <c r="R861" i="2"/>
  <c r="R862" i="2"/>
  <c r="R863" i="2"/>
  <c r="R864" i="2"/>
  <c r="S864" i="2" s="1"/>
  <c r="R865" i="2"/>
  <c r="S865" i="2" s="1"/>
  <c r="R866" i="2"/>
  <c r="R867" i="2"/>
  <c r="R868" i="2"/>
  <c r="S868" i="2" s="1"/>
  <c r="R869" i="2"/>
  <c r="R870" i="2"/>
  <c r="R871" i="2"/>
  <c r="S871" i="2" s="1"/>
  <c r="R872" i="2"/>
  <c r="S872" i="2" s="1"/>
  <c r="R873" i="2"/>
  <c r="S873" i="2" s="1"/>
  <c r="R874" i="2"/>
  <c r="S874" i="2" s="1"/>
  <c r="R875" i="2"/>
  <c r="S875" i="2" s="1"/>
  <c r="R876" i="2"/>
  <c r="R877" i="2"/>
  <c r="R878" i="2"/>
  <c r="R879" i="2"/>
  <c r="S879" i="2" s="1"/>
  <c r="R880" i="2"/>
  <c r="S880" i="2" s="1"/>
  <c r="R881" i="2"/>
  <c r="S881" i="2" s="1"/>
  <c r="R882" i="2"/>
  <c r="S882" i="2" s="1"/>
  <c r="R883" i="2"/>
  <c r="S883" i="2" s="1"/>
  <c r="R884" i="2"/>
  <c r="R885" i="2"/>
  <c r="R886" i="2"/>
  <c r="R887" i="2"/>
  <c r="S887" i="2" s="1"/>
  <c r="R888" i="2"/>
  <c r="S888" i="2" s="1"/>
  <c r="R889" i="2"/>
  <c r="S889" i="2" s="1"/>
  <c r="R890" i="2"/>
  <c r="S890" i="2" s="1"/>
  <c r="R891" i="2"/>
  <c r="S891" i="2" s="1"/>
  <c r="R892" i="2"/>
  <c r="R893" i="2"/>
  <c r="R894" i="2"/>
  <c r="R895" i="2"/>
  <c r="R896" i="2"/>
  <c r="S896" i="2" s="1"/>
  <c r="R897" i="2"/>
  <c r="S897" i="2" s="1"/>
  <c r="R898" i="2"/>
  <c r="R899" i="2"/>
  <c r="R900" i="2"/>
  <c r="S900" i="2" s="1"/>
  <c r="R901" i="2"/>
  <c r="R902" i="2"/>
  <c r="R903" i="2"/>
  <c r="S903" i="2" s="1"/>
  <c r="R904" i="2"/>
  <c r="S904" i="2" s="1"/>
  <c r="R905" i="2"/>
  <c r="S905" i="2" s="1"/>
  <c r="R906" i="2"/>
  <c r="S906" i="2" s="1"/>
  <c r="R907" i="2"/>
  <c r="S907" i="2" s="1"/>
  <c r="R908" i="2"/>
  <c r="R909" i="2"/>
  <c r="R910" i="2"/>
  <c r="R911" i="2"/>
  <c r="S911" i="2" s="1"/>
  <c r="R912" i="2"/>
  <c r="S912" i="2" s="1"/>
  <c r="R913" i="2"/>
  <c r="S913" i="2" s="1"/>
  <c r="R914" i="2"/>
  <c r="S914" i="2" s="1"/>
  <c r="R915" i="2"/>
  <c r="S915" i="2" s="1"/>
  <c r="R916" i="2"/>
  <c r="R917" i="2"/>
  <c r="R918" i="2"/>
  <c r="R919" i="2"/>
  <c r="R920" i="2"/>
  <c r="S920" i="2" s="1"/>
  <c r="R921" i="2"/>
  <c r="S921" i="2" s="1"/>
  <c r="R922" i="2"/>
  <c r="S922" i="2" s="1"/>
  <c r="R923" i="2"/>
  <c r="S923" i="2" s="1"/>
  <c r="R924" i="2"/>
  <c r="R925" i="2"/>
  <c r="R926" i="2"/>
  <c r="R927" i="2"/>
  <c r="R928" i="2"/>
  <c r="S928" i="2" s="1"/>
  <c r="R929" i="2"/>
  <c r="S929" i="2" s="1"/>
  <c r="R930" i="2"/>
  <c r="R931" i="2"/>
  <c r="S931" i="2" s="1"/>
  <c r="R932" i="2"/>
  <c r="S932" i="2" s="1"/>
  <c r="R933" i="2"/>
  <c r="R934" i="2"/>
  <c r="R935" i="2"/>
  <c r="S935" i="2" s="1"/>
  <c r="R936" i="2"/>
  <c r="S936" i="2" s="1"/>
  <c r="R937" i="2"/>
  <c r="S937" i="2" s="1"/>
  <c r="R938" i="2"/>
  <c r="S938" i="2" s="1"/>
  <c r="R939" i="2"/>
  <c r="S939" i="2" s="1"/>
  <c r="R940" i="2"/>
  <c r="R941" i="2"/>
  <c r="R942" i="2"/>
  <c r="R943" i="2"/>
  <c r="S943" i="2" s="1"/>
  <c r="R944" i="2"/>
  <c r="S944" i="2" s="1"/>
  <c r="R945" i="2"/>
  <c r="S945" i="2" s="1"/>
  <c r="R946" i="2"/>
  <c r="S946" i="2" s="1"/>
  <c r="R947" i="2"/>
  <c r="S947" i="2" s="1"/>
  <c r="R948" i="2"/>
  <c r="R949" i="2"/>
  <c r="R950" i="2"/>
  <c r="R951" i="2"/>
  <c r="R952" i="2"/>
  <c r="S952" i="2" s="1"/>
  <c r="R953" i="2"/>
  <c r="S953" i="2" s="1"/>
  <c r="R954" i="2"/>
  <c r="S954" i="2" s="1"/>
  <c r="R955" i="2"/>
  <c r="S955" i="2" s="1"/>
  <c r="R956" i="2"/>
  <c r="R957" i="2"/>
  <c r="R958" i="2"/>
  <c r="R959" i="2"/>
  <c r="R960" i="2"/>
  <c r="S960" i="2" s="1"/>
  <c r="R961" i="2"/>
  <c r="S961" i="2" s="1"/>
  <c r="R962" i="2"/>
  <c r="S962" i="2" s="1"/>
  <c r="R963" i="2"/>
  <c r="S963" i="2" s="1"/>
  <c r="R964" i="2"/>
  <c r="S964" i="2" s="1"/>
  <c r="R965" i="2"/>
  <c r="R966" i="2"/>
  <c r="R967" i="2"/>
  <c r="S967" i="2" s="1"/>
  <c r="R968" i="2"/>
  <c r="S968" i="2" s="1"/>
  <c r="R969" i="2"/>
  <c r="S969" i="2" s="1"/>
  <c r="R970" i="2"/>
  <c r="S970" i="2" s="1"/>
  <c r="R971" i="2"/>
  <c r="S971" i="2" s="1"/>
  <c r="R972" i="2"/>
  <c r="R973" i="2"/>
  <c r="R974" i="2"/>
  <c r="R975" i="2"/>
  <c r="S975" i="2" s="1"/>
  <c r="R976" i="2"/>
  <c r="S976" i="2" s="1"/>
  <c r="R977" i="2"/>
  <c r="S977" i="2" s="1"/>
  <c r="R978" i="2"/>
  <c r="S978" i="2" s="1"/>
  <c r="R979" i="2"/>
  <c r="S979" i="2" s="1"/>
  <c r="R980" i="2"/>
  <c r="R981" i="2"/>
  <c r="R982" i="2"/>
  <c r="R983" i="2"/>
  <c r="R984" i="2"/>
  <c r="S984" i="2" s="1"/>
  <c r="R985" i="2"/>
  <c r="S985" i="2" s="1"/>
  <c r="R986" i="2"/>
  <c r="S986" i="2" s="1"/>
  <c r="R987" i="2"/>
  <c r="S987" i="2" s="1"/>
  <c r="R988" i="2"/>
  <c r="R989" i="2"/>
  <c r="R990" i="2"/>
  <c r="R991" i="2"/>
  <c r="S991" i="2" s="1"/>
  <c r="R992" i="2"/>
  <c r="S992" i="2" s="1"/>
  <c r="R993" i="2"/>
  <c r="S993" i="2" s="1"/>
  <c r="R994" i="2"/>
  <c r="S994" i="2" s="1"/>
  <c r="R995" i="2"/>
  <c r="S995" i="2" s="1"/>
  <c r="R996" i="2"/>
  <c r="S996" i="2" s="1"/>
  <c r="R997" i="2"/>
  <c r="R998" i="2"/>
  <c r="R999" i="2"/>
  <c r="S999" i="2" s="1"/>
  <c r="R1000" i="2"/>
  <c r="S1000" i="2" s="1"/>
  <c r="R1001" i="2"/>
  <c r="S1001" i="2" s="1"/>
  <c r="R1002" i="2"/>
  <c r="R1003" i="2"/>
  <c r="R1004" i="2"/>
  <c r="R1005" i="2"/>
  <c r="R1006" i="2"/>
  <c r="R1007" i="2"/>
  <c r="S1007" i="2" s="1"/>
  <c r="R1008" i="2"/>
  <c r="S1008" i="2" s="1"/>
  <c r="R1009" i="2"/>
  <c r="S1009" i="2" s="1"/>
  <c r="R1010" i="2"/>
  <c r="S1010" i="2" s="1"/>
  <c r="R1011" i="2"/>
  <c r="S1011" i="2" s="1"/>
  <c r="R1012" i="2"/>
  <c r="R1013" i="2"/>
  <c r="R1014" i="2"/>
  <c r="R1015" i="2"/>
  <c r="R1016" i="2"/>
  <c r="S1016" i="2" s="1"/>
  <c r="R1017" i="2"/>
  <c r="S1017" i="2" s="1"/>
  <c r="R1018" i="2"/>
  <c r="S1018" i="2" s="1"/>
  <c r="R1019" i="2"/>
  <c r="S1019" i="2" s="1"/>
  <c r="R1020" i="2"/>
  <c r="R1021" i="2"/>
  <c r="R1022" i="2"/>
  <c r="R1023" i="2"/>
  <c r="S1023" i="2" s="1"/>
  <c r="R1024" i="2"/>
  <c r="S1024" i="2" s="1"/>
  <c r="R1025" i="2"/>
  <c r="S1025" i="2" s="1"/>
  <c r="R1026" i="2"/>
  <c r="S1026" i="2" s="1"/>
  <c r="R1027" i="2"/>
  <c r="S1027" i="2" s="1"/>
  <c r="R1028" i="2"/>
  <c r="S1028" i="2" s="1"/>
  <c r="R1029" i="2"/>
  <c r="R1030" i="2"/>
  <c r="R1031" i="2"/>
  <c r="S1031" i="2" s="1"/>
  <c r="R1032" i="2"/>
  <c r="S1032" i="2" s="1"/>
  <c r="R1033" i="2"/>
  <c r="S1033" i="2" s="1"/>
  <c r="R1034" i="2"/>
  <c r="R1035" i="2"/>
  <c r="R1036" i="2"/>
  <c r="R1037" i="2"/>
  <c r="R1038" i="2"/>
  <c r="R1039" i="2"/>
  <c r="S1039" i="2" s="1"/>
  <c r="R1040" i="2"/>
  <c r="S1040" i="2" s="1"/>
  <c r="R1041" i="2"/>
  <c r="S1041" i="2" s="1"/>
  <c r="R1042" i="2"/>
  <c r="S1042" i="2" s="1"/>
  <c r="R1043" i="2"/>
  <c r="S1043" i="2" s="1"/>
  <c r="R1044" i="2"/>
  <c r="R1045" i="2"/>
  <c r="R1046" i="2"/>
  <c r="R1047" i="2"/>
  <c r="R1048" i="2"/>
  <c r="S1048" i="2" s="1"/>
  <c r="R1049" i="2"/>
  <c r="S1049" i="2" s="1"/>
  <c r="R1050" i="2"/>
  <c r="S1050" i="2" s="1"/>
  <c r="R1051" i="2"/>
  <c r="S1051" i="2" s="1"/>
  <c r="R1052" i="2"/>
  <c r="R1053" i="2"/>
  <c r="R1054" i="2"/>
  <c r="R1055" i="2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R1062" i="2"/>
  <c r="R1063" i="2"/>
  <c r="S1063" i="2" s="1"/>
  <c r="R1064" i="2"/>
  <c r="S1064" i="2" s="1"/>
  <c r="R1065" i="2"/>
  <c r="S1065" i="2" s="1"/>
  <c r="R1066" i="2"/>
  <c r="R1067" i="2"/>
  <c r="S1067" i="2" s="1"/>
  <c r="R1068" i="2"/>
  <c r="R1069" i="2"/>
  <c r="R1070" i="2"/>
  <c r="R1071" i="2"/>
  <c r="S1071" i="2" s="1"/>
  <c r="R1072" i="2"/>
  <c r="S1072" i="2" s="1"/>
  <c r="R1073" i="2"/>
  <c r="S1073" i="2" s="1"/>
  <c r="R1074" i="2"/>
  <c r="S1074" i="2" s="1"/>
  <c r="R1075" i="2"/>
  <c r="S1075" i="2" s="1"/>
  <c r="R1076" i="2"/>
  <c r="R1077" i="2"/>
  <c r="R1078" i="2"/>
  <c r="R1079" i="2"/>
  <c r="R1080" i="2"/>
  <c r="S1080" i="2" s="1"/>
  <c r="R1081" i="2"/>
  <c r="S1081" i="2" s="1"/>
  <c r="R1082" i="2"/>
  <c r="S1082" i="2" s="1"/>
  <c r="R1083" i="2"/>
  <c r="S1083" i="2" s="1"/>
  <c r="R1084" i="2"/>
  <c r="R1085" i="2"/>
  <c r="R1086" i="2"/>
  <c r="R1087" i="2"/>
  <c r="R1088" i="2"/>
  <c r="S1088" i="2" s="1"/>
  <c r="R1089" i="2"/>
  <c r="S1089" i="2" s="1"/>
  <c r="R1090" i="2"/>
  <c r="S1090" i="2" s="1"/>
  <c r="R1091" i="2"/>
  <c r="S1091" i="2" s="1"/>
  <c r="R1092" i="2"/>
  <c r="S1092" i="2" s="1"/>
  <c r="R1093" i="2"/>
  <c r="R1094" i="2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R1101" i="2"/>
  <c r="R1102" i="2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R1109" i="2"/>
  <c r="R1110" i="2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R1117" i="2"/>
  <c r="R1118" i="2"/>
  <c r="R1119" i="2"/>
  <c r="R1120" i="2"/>
  <c r="S1120" i="2" s="1"/>
  <c r="R1121" i="2"/>
  <c r="S1121" i="2" s="1"/>
  <c r="R1122" i="2"/>
  <c r="R1123" i="2"/>
  <c r="R1124" i="2"/>
  <c r="S1124" i="2" s="1"/>
  <c r="R1125" i="2"/>
  <c r="R1126" i="2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R1133" i="2"/>
  <c r="R1134" i="2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R1141" i="2"/>
  <c r="R1142" i="2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R1149" i="2"/>
  <c r="R1150" i="2"/>
  <c r="R1151" i="2"/>
  <c r="R1152" i="2"/>
  <c r="S1152" i="2" s="1"/>
  <c r="R1153" i="2"/>
  <c r="S1153" i="2" s="1"/>
  <c r="R1154" i="2"/>
  <c r="R1155" i="2"/>
  <c r="R1156" i="2"/>
  <c r="S1156" i="2" s="1"/>
  <c r="R1157" i="2"/>
  <c r="R1158" i="2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R1165" i="2"/>
  <c r="R1166" i="2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R1173" i="2"/>
  <c r="R1174" i="2"/>
  <c r="R1175" i="2"/>
  <c r="R1176" i="2"/>
  <c r="S1176" i="2" s="1"/>
  <c r="R1177" i="2"/>
  <c r="S1177" i="2" s="1"/>
  <c r="R1178" i="2"/>
  <c r="S1178" i="2" s="1"/>
  <c r="R1179" i="2"/>
  <c r="S1179" i="2" s="1"/>
  <c r="R1180" i="2"/>
  <c r="R1181" i="2"/>
  <c r="R1182" i="2"/>
  <c r="R1183" i="2"/>
  <c r="R1184" i="2"/>
  <c r="S1184" i="2" s="1"/>
  <c r="R1185" i="2"/>
  <c r="S1185" i="2" s="1"/>
  <c r="R1186" i="2"/>
  <c r="R1187" i="2"/>
  <c r="S1187" i="2" s="1"/>
  <c r="R1188" i="2"/>
  <c r="S1188" i="2" s="1"/>
  <c r="R1189" i="2"/>
  <c r="R1190" i="2"/>
  <c r="R1191" i="2"/>
  <c r="S1191" i="2" s="1"/>
  <c r="R1192" i="2"/>
  <c r="S1192" i="2" s="1"/>
  <c r="R1193" i="2"/>
  <c r="S1193" i="2" s="1"/>
  <c r="R1194" i="2"/>
  <c r="S1194" i="2" s="1"/>
  <c r="R1195" i="2"/>
  <c r="S1195" i="2" s="1"/>
  <c r="R1196" i="2"/>
  <c r="R1197" i="2"/>
  <c r="R1198" i="2"/>
  <c r="R1199" i="2"/>
  <c r="S1199" i="2" s="1"/>
  <c r="R1200" i="2"/>
  <c r="S1200" i="2" s="1"/>
  <c r="R1201" i="2"/>
  <c r="S1201" i="2" s="1"/>
  <c r="R1202" i="2"/>
  <c r="S1202" i="2" s="1"/>
  <c r="R1203" i="2"/>
  <c r="S1203" i="2" s="1"/>
  <c r="R1204" i="2"/>
  <c r="R1205" i="2"/>
  <c r="R1206" i="2"/>
  <c r="R1207" i="2"/>
  <c r="R1208" i="2"/>
  <c r="S1208" i="2" s="1"/>
  <c r="R1209" i="2"/>
  <c r="S1209" i="2" s="1"/>
  <c r="R1210" i="2"/>
  <c r="S1210" i="2" s="1"/>
  <c r="R1211" i="2"/>
  <c r="S1211" i="2" s="1"/>
  <c r="R1212" i="2"/>
  <c r="R1213" i="2"/>
  <c r="R1214" i="2"/>
  <c r="R1215" i="2"/>
  <c r="R1216" i="2"/>
  <c r="S1216" i="2" s="1"/>
  <c r="R1217" i="2"/>
  <c r="S1217" i="2" s="1"/>
  <c r="R1218" i="2"/>
  <c r="S1218" i="2" s="1"/>
  <c r="R1219" i="2"/>
  <c r="S1219" i="2" s="1"/>
  <c r="R1220" i="2"/>
  <c r="S1220" i="2" s="1"/>
  <c r="R1221" i="2"/>
  <c r="R1222" i="2"/>
  <c r="R1223" i="2"/>
  <c r="S1223" i="2" s="1"/>
  <c r="R1224" i="2"/>
  <c r="S1224" i="2" s="1"/>
  <c r="R1225" i="2"/>
  <c r="S1225" i="2" s="1"/>
  <c r="R1226" i="2"/>
  <c r="S1226" i="2" s="1"/>
  <c r="R1227" i="2"/>
  <c r="S1227" i="2" s="1"/>
  <c r="R1228" i="2"/>
  <c r="R1229" i="2"/>
  <c r="R1230" i="2"/>
  <c r="R1231" i="2"/>
  <c r="S1231" i="2" s="1"/>
  <c r="R1232" i="2"/>
  <c r="S1232" i="2" s="1"/>
  <c r="R1233" i="2"/>
  <c r="S1233" i="2" s="1"/>
  <c r="R1234" i="2"/>
  <c r="S1234" i="2" s="1"/>
  <c r="R1235" i="2"/>
  <c r="S1235" i="2" s="1"/>
  <c r="R1236" i="2"/>
  <c r="R1237" i="2"/>
  <c r="R1238" i="2"/>
  <c r="R1239" i="2"/>
  <c r="R1240" i="2"/>
  <c r="S1240" i="2" s="1"/>
  <c r="R1241" i="2"/>
  <c r="S1241" i="2" s="1"/>
  <c r="R1242" i="2"/>
  <c r="S1242" i="2" s="1"/>
  <c r="R1243" i="2"/>
  <c r="S1243" i="2" s="1"/>
  <c r="R1244" i="2"/>
  <c r="R1245" i="2"/>
  <c r="R1246" i="2"/>
  <c r="R1247" i="2"/>
  <c r="S1247" i="2" s="1"/>
  <c r="R1248" i="2"/>
  <c r="S1248" i="2" s="1"/>
  <c r="R1249" i="2"/>
  <c r="S1249" i="2" s="1"/>
  <c r="R1250" i="2"/>
  <c r="S1250" i="2" s="1"/>
  <c r="R1251" i="2"/>
  <c r="S1251" i="2" s="1"/>
  <c r="R1252" i="2"/>
  <c r="S1252" i="2" s="1"/>
  <c r="R1253" i="2"/>
  <c r="R1254" i="2"/>
  <c r="R1255" i="2"/>
  <c r="S1255" i="2" s="1"/>
  <c r="R1256" i="2"/>
  <c r="S1256" i="2" s="1"/>
  <c r="R1257" i="2"/>
  <c r="S1257" i="2" s="1"/>
  <c r="R1258" i="2"/>
  <c r="R1259" i="2"/>
  <c r="R1260" i="2"/>
  <c r="R1261" i="2"/>
  <c r="R1262" i="2"/>
  <c r="R1263" i="2"/>
  <c r="S1263" i="2" s="1"/>
  <c r="R1264" i="2"/>
  <c r="S1264" i="2" s="1"/>
  <c r="R1265" i="2"/>
  <c r="S1265" i="2" s="1"/>
  <c r="R1266" i="2"/>
  <c r="S1266" i="2" s="1"/>
  <c r="R1267" i="2"/>
  <c r="S1267" i="2" s="1"/>
  <c r="R1268" i="2"/>
  <c r="R1269" i="2"/>
  <c r="R1270" i="2"/>
  <c r="R1271" i="2"/>
  <c r="R1272" i="2"/>
  <c r="S1272" i="2" s="1"/>
  <c r="R1273" i="2"/>
  <c r="S1273" i="2" s="1"/>
  <c r="R1274" i="2"/>
  <c r="S1274" i="2" s="1"/>
  <c r="R1275" i="2"/>
  <c r="S1275" i="2" s="1"/>
  <c r="R1276" i="2"/>
  <c r="R1277" i="2"/>
  <c r="R1278" i="2"/>
  <c r="R1279" i="2"/>
  <c r="S1279" i="2" s="1"/>
  <c r="R1280" i="2"/>
  <c r="S1280" i="2" s="1"/>
  <c r="R1281" i="2"/>
  <c r="S1281" i="2" s="1"/>
  <c r="R1282" i="2"/>
  <c r="S1282" i="2" s="1"/>
  <c r="R1283" i="2"/>
  <c r="S1283" i="2" s="1"/>
  <c r="R1284" i="2"/>
  <c r="S1284" i="2" s="1"/>
  <c r="R1285" i="2"/>
  <c r="R1286" i="2"/>
  <c r="R1287" i="2"/>
  <c r="S1287" i="2" s="1"/>
  <c r="R1288" i="2"/>
  <c r="S1288" i="2" s="1"/>
  <c r="R1289" i="2"/>
  <c r="S1289" i="2" s="1"/>
  <c r="R1290" i="2"/>
  <c r="R1291" i="2"/>
  <c r="R1292" i="2"/>
  <c r="R1293" i="2"/>
  <c r="R1294" i="2"/>
  <c r="R1295" i="2"/>
  <c r="S1295" i="2" s="1"/>
  <c r="R1296" i="2"/>
  <c r="S1296" i="2" s="1"/>
  <c r="R1297" i="2"/>
  <c r="S1297" i="2" s="1"/>
  <c r="R1298" i="2"/>
  <c r="S1298" i="2" s="1"/>
  <c r="R1299" i="2"/>
  <c r="S1299" i="2" s="1"/>
  <c r="R1300" i="2"/>
  <c r="R1301" i="2"/>
  <c r="R1302" i="2"/>
  <c r="R1303" i="2"/>
  <c r="R1304" i="2"/>
  <c r="S1304" i="2" s="1"/>
  <c r="R1305" i="2"/>
  <c r="S1305" i="2" s="1"/>
  <c r="R1306" i="2"/>
  <c r="S1306" i="2" s="1"/>
  <c r="R1307" i="2"/>
  <c r="S1307" i="2" s="1"/>
  <c r="R1308" i="2"/>
  <c r="R1309" i="2"/>
  <c r="R1310" i="2"/>
  <c r="R1311" i="2"/>
  <c r="R1312" i="2"/>
  <c r="S1312" i="2" s="1"/>
  <c r="R1313" i="2"/>
  <c r="S1313" i="2" s="1"/>
  <c r="R1314" i="2"/>
  <c r="S1314" i="2" s="1"/>
  <c r="R1315" i="2"/>
  <c r="S1315" i="2" s="1"/>
  <c r="R1316" i="2"/>
  <c r="S1316" i="2" s="1"/>
  <c r="R1317" i="2"/>
  <c r="R1318" i="2"/>
  <c r="R1319" i="2"/>
  <c r="S1319" i="2" s="1"/>
  <c r="R1320" i="2"/>
  <c r="S1320" i="2" s="1"/>
  <c r="R1321" i="2"/>
  <c r="S1321" i="2" s="1"/>
  <c r="R1322" i="2"/>
  <c r="R1323" i="2"/>
  <c r="S1323" i="2" s="1"/>
  <c r="R1324" i="2"/>
  <c r="R1325" i="2"/>
  <c r="R1326" i="2"/>
  <c r="R1327" i="2"/>
  <c r="S1327" i="2" s="1"/>
  <c r="R1328" i="2"/>
  <c r="S1328" i="2" s="1"/>
  <c r="R1329" i="2"/>
  <c r="S1329" i="2" s="1"/>
  <c r="R1330" i="2"/>
  <c r="S1330" i="2" s="1"/>
  <c r="R1331" i="2"/>
  <c r="S1331" i="2" s="1"/>
  <c r="R1332" i="2"/>
  <c r="R1333" i="2"/>
  <c r="R1334" i="2"/>
  <c r="R1335" i="2"/>
  <c r="R1336" i="2"/>
  <c r="S1336" i="2" s="1"/>
  <c r="R1337" i="2"/>
  <c r="S1337" i="2" s="1"/>
  <c r="R1338" i="2"/>
  <c r="S1338" i="2" s="1"/>
  <c r="R1339" i="2"/>
  <c r="S1339" i="2" s="1"/>
  <c r="R1340" i="2"/>
  <c r="R1341" i="2"/>
  <c r="R1342" i="2"/>
  <c r="R1343" i="2"/>
  <c r="R1344" i="2"/>
  <c r="S1344" i="2" s="1"/>
  <c r="R1345" i="2"/>
  <c r="S1345" i="2" s="1"/>
  <c r="R1346" i="2"/>
  <c r="S1346" i="2" s="1"/>
  <c r="R1347" i="2"/>
  <c r="S1347" i="2" s="1"/>
  <c r="R1348" i="2"/>
  <c r="S1348" i="2" s="1"/>
  <c r="R1349" i="2"/>
  <c r="R1350" i="2"/>
  <c r="R1351" i="2"/>
  <c r="S1351" i="2" s="1"/>
  <c r="R1352" i="2"/>
  <c r="S1352" i="2" s="1"/>
  <c r="R1353" i="2"/>
  <c r="S1353" i="2" s="1"/>
  <c r="R1354" i="2"/>
  <c r="S1354" i="2" s="1"/>
  <c r="R1355" i="2"/>
  <c r="S1355" i="2" s="1"/>
  <c r="R1356" i="2"/>
  <c r="R1357" i="2"/>
  <c r="R1358" i="2"/>
  <c r="R1359" i="2"/>
  <c r="S1359" i="2" s="1"/>
  <c r="R1360" i="2"/>
  <c r="S1360" i="2" s="1"/>
  <c r="R1361" i="2"/>
  <c r="S1361" i="2" s="1"/>
  <c r="R1362" i="2"/>
  <c r="S1362" i="2" s="1"/>
  <c r="R1363" i="2"/>
  <c r="S1363" i="2" s="1"/>
  <c r="R1364" i="2"/>
  <c r="R1365" i="2"/>
  <c r="R1366" i="2"/>
  <c r="R1367" i="2"/>
  <c r="S1367" i="2" s="1"/>
  <c r="R1368" i="2"/>
  <c r="S1368" i="2" s="1"/>
  <c r="R1369" i="2"/>
  <c r="S1369" i="2" s="1"/>
  <c r="R1370" i="2"/>
  <c r="S1370" i="2" s="1"/>
  <c r="R1371" i="2"/>
  <c r="S1371" i="2" s="1"/>
  <c r="R1372" i="2"/>
  <c r="R1373" i="2"/>
  <c r="R1374" i="2"/>
  <c r="R1375" i="2"/>
  <c r="R1376" i="2"/>
  <c r="S1376" i="2" s="1"/>
  <c r="R1377" i="2"/>
  <c r="S1377" i="2" s="1"/>
  <c r="R1378" i="2"/>
  <c r="R1379" i="2"/>
  <c r="R1380" i="2"/>
  <c r="S1380" i="2" s="1"/>
  <c r="R1381" i="2"/>
  <c r="R1382" i="2"/>
  <c r="R1383" i="2"/>
  <c r="S1383" i="2" s="1"/>
  <c r="R1384" i="2"/>
  <c r="S1384" i="2" s="1"/>
  <c r="R1385" i="2"/>
  <c r="S1385" i="2" s="1"/>
  <c r="R1386" i="2"/>
  <c r="S1386" i="2" s="1"/>
  <c r="R1387" i="2"/>
  <c r="S1387" i="2" s="1"/>
  <c r="R1388" i="2"/>
  <c r="R1389" i="2"/>
  <c r="R1390" i="2"/>
  <c r="R1391" i="2"/>
  <c r="S1391" i="2" s="1"/>
  <c r="R1392" i="2"/>
  <c r="S1392" i="2" s="1"/>
  <c r="R1393" i="2"/>
  <c r="S1393" i="2" s="1"/>
  <c r="R1394" i="2"/>
  <c r="S1394" i="2" s="1"/>
  <c r="R1395" i="2"/>
  <c r="S1395" i="2" s="1"/>
  <c r="R1396" i="2"/>
  <c r="R1397" i="2"/>
  <c r="R1398" i="2"/>
  <c r="R1399" i="2"/>
  <c r="S1399" i="2" s="1"/>
  <c r="R1400" i="2"/>
  <c r="S1400" i="2" s="1"/>
  <c r="R1401" i="2"/>
  <c r="S1401" i="2" s="1"/>
  <c r="R1402" i="2"/>
  <c r="S1402" i="2" s="1"/>
  <c r="R1403" i="2"/>
  <c r="S1403" i="2" s="1"/>
  <c r="R1404" i="2"/>
  <c r="R1405" i="2"/>
  <c r="R1406" i="2"/>
  <c r="R1407" i="2"/>
  <c r="R1408" i="2"/>
  <c r="S1408" i="2" s="1"/>
  <c r="R1409" i="2"/>
  <c r="S1409" i="2" s="1"/>
  <c r="R1410" i="2"/>
  <c r="R1411" i="2"/>
  <c r="R1412" i="2"/>
  <c r="S1412" i="2" s="1"/>
  <c r="R1413" i="2"/>
  <c r="R1414" i="2"/>
  <c r="R1415" i="2"/>
  <c r="R1416" i="2"/>
  <c r="S1416" i="2" s="1"/>
  <c r="R1417" i="2"/>
  <c r="S1417" i="2" s="1"/>
  <c r="R1418" i="2"/>
  <c r="S1418" i="2" s="1"/>
  <c r="R1419" i="2"/>
  <c r="S1419" i="2" s="1"/>
  <c r="R1420" i="2"/>
  <c r="R1421" i="2"/>
  <c r="R1422" i="2"/>
  <c r="R1423" i="2"/>
  <c r="S1423" i="2" s="1"/>
  <c r="R5" i="2"/>
</calcChain>
</file>

<file path=xl/sharedStrings.xml><?xml version="1.0" encoding="utf-8"?>
<sst xmlns="http://schemas.openxmlformats.org/spreadsheetml/2006/main" count="1487" uniqueCount="69">
  <si>
    <t>Phase</t>
  </si>
  <si>
    <t>Description</t>
  </si>
  <si>
    <t>u_min</t>
  </si>
  <si>
    <t>u_max</t>
  </si>
  <si>
    <t>v_t</t>
  </si>
  <si>
    <t>Nationwide lockdown</t>
  </si>
  <si>
    <t>Gradual reopening after lifting lockdown</t>
  </si>
  <si>
    <t>Capital city preventive orders</t>
  </si>
  <si>
    <t>Dashain 2020 festival guidance</t>
  </si>
  <si>
    <t>Post-festival local NPIs</t>
  </si>
  <si>
    <t>Winter NPIs (local level)</t>
  </si>
  <si>
    <t>Rising cases pre-Delta warnings</t>
  </si>
  <si>
    <t>Delta-prohibitory lockdown</t>
  </si>
  <si>
    <t>Reopening (moderate NPIs; schools conditional)</t>
  </si>
  <si>
    <t>Dashain, Tihar 2021 (festival guidelines)</t>
  </si>
  <si>
    <t>Post-festival period (vaccination scale-up)</t>
  </si>
  <si>
    <t>Omicron response (vaccination card for services)</t>
  </si>
  <si>
    <t>Pre-lifting transition</t>
  </si>
  <si>
    <t>All restrictions lifted (endemic transition)</t>
  </si>
  <si>
    <t>Dashain, Tihar 2022 (normal)</t>
  </si>
  <si>
    <t>Post festival period (normal)</t>
  </si>
  <si>
    <t>Post-pandemic normalization</t>
  </si>
  <si>
    <t>Kathmandu Post (2020/9/8)</t>
  </si>
  <si>
    <t>The Himalayan Times (2022/2/7)</t>
  </si>
  <si>
    <t>The Himalayan Times (2022/9/30)</t>
  </si>
  <si>
    <t>The Himalayan Times (2022/3/4)</t>
  </si>
  <si>
    <t>Kathmandu Post (2020/11/6)</t>
  </si>
  <si>
    <t>Kathmandu Post (2020/12/1)</t>
  </si>
  <si>
    <t>Kathmandu Post (2021/9/2)</t>
  </si>
  <si>
    <t>Kathmandu Post (2021/9/30)</t>
  </si>
  <si>
    <t>Sharma et al.</t>
  </si>
  <si>
    <t>Rayamajhee et al.</t>
  </si>
  <si>
    <t>Adhikari et al.</t>
  </si>
  <si>
    <t>Sources</t>
  </si>
  <si>
    <t>(who.int/nepal/news (2021/1/27)</t>
  </si>
  <si>
    <t>cdn.who.int/media (Situation Update # 51)</t>
  </si>
  <si>
    <t>Kathmandu Post (2021/11/22)</t>
  </si>
  <si>
    <t>nmc.org.np (2022/1/24)</t>
  </si>
  <si>
    <t>cdn.who.int/media (Situation Update # 133)</t>
  </si>
  <si>
    <t>cdn.who.int/media (Situation Update # 138)</t>
  </si>
  <si>
    <t>dpnet.org.np (2020/8/6)</t>
  </si>
  <si>
    <t xml:space="preserve">Start Date </t>
  </si>
  <si>
    <t xml:space="preserve">End Date </t>
  </si>
  <si>
    <t xml:space="preserve"> </t>
  </si>
  <si>
    <t>Vaccination campaign begins ( first and second phases)</t>
  </si>
  <si>
    <t>Date</t>
  </si>
  <si>
    <t>Country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</si>
  <si>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</si>
  <si>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</si>
  <si>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</si>
  <si>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</si>
  <si>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</si>
  <si>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</si>
  <si>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</si>
  <si>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</si>
  <si>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</si>
  <si>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</si>
  <si>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</si>
  <si>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</si>
  <si>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</si>
  <si>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</si>
  <si>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Nepal</t>
  </si>
  <si>
    <t>Computed by User (Shiva Hari Subedi)</t>
  </si>
  <si>
    <t xml:space="preserve">v_1-v_2 Single dose only (J-K) </t>
  </si>
  <si>
    <t>v_t = MIN(1, (0.5*MAX(v_1-v_2,0) + 1*v_2)/100 ); v_1=people vaccinated % (one or two dose), v_2=people fully vaccinated %</t>
  </si>
  <si>
    <t>Estimation of overall vaccination coverage (v_t) combining single and full dose coverage from OWID data</t>
  </si>
  <si>
    <t>OWID DATA (filtered columns: Date, Country (Nepal), Vaccination Details</t>
  </si>
  <si>
    <t xml:space="preserve">v_t </t>
  </si>
  <si>
    <t>Sources: v_t taken from vaccination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</si>
</sst>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1" applyAlignment="1" applyProtection="1"/>
    <xf numFmtId="14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2" xfId="0" applyBorder="1"/>
    <xf numFmtId="0" fontId="1" fillId="0" borderId="6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thmandupost.com/valley/2021/09/30/district-administration-office-of-kathmandu-publish-new-circular-with-guidelines-for-covid-19-pandemic-during-festive-season" TargetMode="External"/><Relationship Id="rId13" Type="http://schemas.openxmlformats.org/officeDocument/2006/relationships/hyperlink" Target="https://www.dpnet.org.np/uploads/files/Guidelines-feast-and-festivals-Final%20Endorsed%206-Aug-2020%202020-08-09%2008-27-32.pdf" TargetMode="External"/><Relationship Id="rId18" Type="http://schemas.openxmlformats.org/officeDocument/2006/relationships/hyperlink" Target="https://cdn.who.int/media/docs/default-source/nepal-documents/novel-coronavirus/who-nepal-sitrep/weekly-who-nepal-situation-updates_-138_v1.pdf" TargetMode="External"/><Relationship Id="rId3" Type="http://schemas.openxmlformats.org/officeDocument/2006/relationships/hyperlink" Target="https://kathmandupost.com/valley/2020/09/08/valley-chief-district-officers-to-decide-whether-to-extend-prohibitory-orders-this-afternoon" TargetMode="External"/><Relationship Id="rId7" Type="http://schemas.openxmlformats.org/officeDocument/2006/relationships/hyperlink" Target="https://kathmandupost.com/valley/2021/09/02/valley-authorities-allow-conditional-reopening-of-schools" TargetMode="External"/><Relationship Id="rId12" Type="http://schemas.openxmlformats.org/officeDocument/2006/relationships/hyperlink" Target="https://thehimalayantimes.com/kathmandu/14-million-leave-kathmandu-valley-for-dashain" TargetMode="External"/><Relationship Id="rId17" Type="http://schemas.openxmlformats.org/officeDocument/2006/relationships/hyperlink" Target="https://cdn.who.int/media/docs/default-source/nepal-documents/novel-coronavirus/who-nepal-sitrep/-133_weekly-who-nepal-situation-updates.pdf" TargetMode="External"/><Relationship Id="rId2" Type="http://schemas.openxmlformats.org/officeDocument/2006/relationships/hyperlink" Target="https://doi.org/10.3389/fpubh.2021.597808" TargetMode="External"/><Relationship Id="rId16" Type="http://schemas.openxmlformats.org/officeDocument/2006/relationships/hyperlink" Target="https://nmc.org.np/files/4/NMC/%20COVID-19/%20Guidelines/%20Updates/%20Jan_24_2022.pdf" TargetMode="External"/><Relationship Id="rId1" Type="http://schemas.openxmlformats.org/officeDocument/2006/relationships/hyperlink" Target="https://doi.org/10.3389/fpubh.2021.599280" TargetMode="External"/><Relationship Id="rId6" Type="http://schemas.openxmlformats.org/officeDocument/2006/relationships/hyperlink" Target="https://doi.org/10.1016/j.epidem.2022.100642" TargetMode="External"/><Relationship Id="rId11" Type="http://schemas.openxmlformats.org/officeDocument/2006/relationships/hyperlink" Target="https://thehimalayantimes.com/kathmandu/all-covid-19-related-restrictive-measures-lifted-from-valley" TargetMode="External"/><Relationship Id="rId5" Type="http://schemas.openxmlformats.org/officeDocument/2006/relationships/hyperlink" Target="https://kathmandupost.com/12/2020/12/01/kathmandu-district-administration-asks-the-public-not-to-hold-rallies-and-demonstrations" TargetMode="External"/><Relationship Id="rId15" Type="http://schemas.openxmlformats.org/officeDocument/2006/relationships/hyperlink" Target="https://cdn.who.int/media/docs/default-source/nepal-documents/novel-coronavirus/who-nepal-sitrep/-51_weekly-who-nepal-situation-updates.pdf" TargetMode="External"/><Relationship Id="rId10" Type="http://schemas.openxmlformats.org/officeDocument/2006/relationships/hyperlink" Target="https://thehimalayantimes.com/kathmandu/covid-19-control-regulations-undergo-change-starting-monday-schools-to-reopen-feb-13" TargetMode="External"/><Relationship Id="rId4" Type="http://schemas.openxmlformats.org/officeDocument/2006/relationships/hyperlink" Target="https://kathmandupost.com/national/2020/11/06/pandemic-to-overshadow-tihar-festival-as-well" TargetMode="External"/><Relationship Id="rId9" Type="http://schemas.openxmlformats.org/officeDocument/2006/relationships/hyperlink" Target="https://kathmandupost.com/health/2021/11/22/after-poor-response-from-priority-group-government-opens-pfizer-jabs-for-all-children-above-12" TargetMode="External"/><Relationship Id="rId14" Type="http://schemas.openxmlformats.org/officeDocument/2006/relationships/hyperlink" Target="https://www.who.int/nepal/news/detail/27-01-2021-nepal-launches-nationwide-covid-19-vaccination-drive-with-health-workers-and-frontline-wor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0.44140625" customWidth="1"/>
    <col min="2" max="3" width="14.6640625" customWidth="1"/>
    <col min="4" max="4" width="45.21875" customWidth="1"/>
    <col min="5" max="5" width="47.44140625" customWidth="1"/>
    <col min="6" max="6" width="9.77734375" customWidth="1"/>
    <col min="7" max="7" width="10.33203125" customWidth="1"/>
    <col min="8" max="8" width="8.6640625" customWidth="1"/>
    <col min="9" max="9" width="36.21875" customWidth="1"/>
  </cols>
  <sheetData>
    <row r="1" spans="1:9" ht="15" thickBot="1" x14ac:dyDescent="0.35">
      <c r="A1" s="15" t="s">
        <v>0</v>
      </c>
      <c r="B1" s="16" t="s">
        <v>41</v>
      </c>
      <c r="C1" s="16" t="s">
        <v>42</v>
      </c>
      <c r="D1" s="16" t="s">
        <v>1</v>
      </c>
      <c r="E1" s="17" t="s">
        <v>33</v>
      </c>
      <c r="F1" s="16" t="s">
        <v>2</v>
      </c>
      <c r="G1" s="16" t="s">
        <v>3</v>
      </c>
      <c r="H1" s="16" t="s">
        <v>4</v>
      </c>
      <c r="I1" s="18" t="s">
        <v>68</v>
      </c>
    </row>
    <row r="2" spans="1:9" x14ac:dyDescent="0.3">
      <c r="A2">
        <v>1</v>
      </c>
      <c r="B2" s="2">
        <v>43914</v>
      </c>
      <c r="C2" s="2">
        <v>44033</v>
      </c>
      <c r="D2" t="s">
        <v>5</v>
      </c>
      <c r="E2" s="1" t="s">
        <v>30</v>
      </c>
      <c r="F2">
        <v>0.65</v>
      </c>
      <c r="G2">
        <v>0.85</v>
      </c>
      <c r="H2">
        <f>Vaccination!S203</f>
        <v>0</v>
      </c>
    </row>
    <row r="3" spans="1:9" x14ac:dyDescent="0.3">
      <c r="A3">
        <v>2</v>
      </c>
      <c r="B3" s="2">
        <v>44034</v>
      </c>
      <c r="C3" s="2">
        <v>44061</v>
      </c>
      <c r="D3" t="s">
        <v>6</v>
      </c>
      <c r="E3" s="1" t="s">
        <v>31</v>
      </c>
      <c r="F3">
        <v>0.4</v>
      </c>
      <c r="G3">
        <v>0.55000000000000004</v>
      </c>
      <c r="H3">
        <f>Vaccination!S231</f>
        <v>0</v>
      </c>
    </row>
    <row r="4" spans="1:9" x14ac:dyDescent="0.3">
      <c r="A4">
        <v>3</v>
      </c>
      <c r="B4" s="2">
        <v>44062</v>
      </c>
      <c r="C4" s="2">
        <v>44119</v>
      </c>
      <c r="D4" t="s">
        <v>7</v>
      </c>
      <c r="E4" s="1" t="s">
        <v>22</v>
      </c>
      <c r="F4">
        <v>0.5</v>
      </c>
      <c r="G4">
        <v>0.6</v>
      </c>
      <c r="H4">
        <f>Vaccination!S289</f>
        <v>0</v>
      </c>
    </row>
    <row r="5" spans="1:9" x14ac:dyDescent="0.3">
      <c r="A5">
        <v>4</v>
      </c>
      <c r="B5" s="2">
        <v>44120</v>
      </c>
      <c r="C5" s="2">
        <v>44135</v>
      </c>
      <c r="D5" t="s">
        <v>8</v>
      </c>
      <c r="E5" s="1" t="s">
        <v>40</v>
      </c>
      <c r="F5">
        <v>0.2</v>
      </c>
      <c r="G5">
        <v>0.35</v>
      </c>
      <c r="H5">
        <f>Vaccination!S305</f>
        <v>0</v>
      </c>
    </row>
    <row r="6" spans="1:9" x14ac:dyDescent="0.3">
      <c r="A6">
        <v>5</v>
      </c>
      <c r="B6" s="2">
        <v>44136</v>
      </c>
      <c r="C6" s="2">
        <v>44155</v>
      </c>
      <c r="D6" t="s">
        <v>9</v>
      </c>
      <c r="E6" s="1" t="s">
        <v>26</v>
      </c>
      <c r="F6">
        <v>0.4</v>
      </c>
      <c r="G6">
        <v>0.55000000000000004</v>
      </c>
      <c r="H6">
        <f>Vaccination!S325</f>
        <v>0</v>
      </c>
    </row>
    <row r="7" spans="1:9" x14ac:dyDescent="0.3">
      <c r="A7">
        <v>6</v>
      </c>
      <c r="B7" s="2">
        <v>44156</v>
      </c>
      <c r="C7" s="2">
        <v>44222</v>
      </c>
      <c r="D7" t="s">
        <v>10</v>
      </c>
      <c r="E7" s="1" t="s">
        <v>27</v>
      </c>
      <c r="F7">
        <v>0.3</v>
      </c>
      <c r="G7">
        <v>0.4</v>
      </c>
      <c r="H7">
        <f>Vaccination!S392</f>
        <v>0</v>
      </c>
    </row>
    <row r="8" spans="1:9" x14ac:dyDescent="0.3">
      <c r="A8">
        <v>7</v>
      </c>
      <c r="B8" s="2">
        <v>44223</v>
      </c>
      <c r="C8" s="2">
        <v>44286</v>
      </c>
      <c r="D8" t="s">
        <v>44</v>
      </c>
      <c r="E8" s="1" t="s">
        <v>34</v>
      </c>
      <c r="F8">
        <v>0.35</v>
      </c>
      <c r="G8">
        <v>0.45</v>
      </c>
      <c r="H8">
        <f>Vaccination!S444</f>
        <v>2.6200000000000001E-2</v>
      </c>
      <c r="I8" s="1"/>
    </row>
    <row r="9" spans="1:9" x14ac:dyDescent="0.3">
      <c r="A9">
        <v>8</v>
      </c>
      <c r="B9" s="2">
        <v>44287</v>
      </c>
      <c r="C9" s="2">
        <v>44314</v>
      </c>
      <c r="D9" t="s">
        <v>11</v>
      </c>
      <c r="E9" s="1" t="s">
        <v>35</v>
      </c>
      <c r="F9">
        <v>0.45</v>
      </c>
      <c r="G9">
        <v>0.5</v>
      </c>
      <c r="H9">
        <f>Vaccination!S484</f>
        <v>3.4249999999999996E-2</v>
      </c>
      <c r="I9" s="1"/>
    </row>
    <row r="10" spans="1:9" x14ac:dyDescent="0.3">
      <c r="A10">
        <v>9</v>
      </c>
      <c r="B10" s="2">
        <v>44315</v>
      </c>
      <c r="C10" s="2">
        <v>44439</v>
      </c>
      <c r="D10" t="s">
        <v>12</v>
      </c>
      <c r="E10" s="1" t="s">
        <v>32</v>
      </c>
      <c r="F10">
        <v>0.7</v>
      </c>
      <c r="G10">
        <v>0.85</v>
      </c>
      <c r="H10">
        <f>Vaccination!S609</f>
        <v>0.16039999999999999</v>
      </c>
    </row>
    <row r="11" spans="1:9" x14ac:dyDescent="0.3">
      <c r="A11">
        <v>10</v>
      </c>
      <c r="B11" s="2">
        <v>44440</v>
      </c>
      <c r="C11" s="2">
        <v>44468</v>
      </c>
      <c r="D11" t="s">
        <v>13</v>
      </c>
      <c r="E11" s="1" t="s">
        <v>28</v>
      </c>
      <c r="F11">
        <v>0.35</v>
      </c>
      <c r="G11">
        <v>0.45</v>
      </c>
      <c r="H11">
        <f>Vaccination!S638</f>
        <v>0.22020000000000003</v>
      </c>
    </row>
    <row r="12" spans="1:9" x14ac:dyDescent="0.3">
      <c r="A12">
        <v>11</v>
      </c>
      <c r="B12" s="2">
        <v>44469</v>
      </c>
      <c r="C12" s="2">
        <v>44511</v>
      </c>
      <c r="D12" t="s">
        <v>14</v>
      </c>
      <c r="E12" s="1" t="s">
        <v>29</v>
      </c>
      <c r="F12">
        <v>0.2</v>
      </c>
      <c r="G12">
        <v>0.3</v>
      </c>
      <c r="H12">
        <f>Vaccination!S677</f>
        <v>0.26469999999999999</v>
      </c>
    </row>
    <row r="13" spans="1:9" x14ac:dyDescent="0.3">
      <c r="A13">
        <v>12</v>
      </c>
      <c r="B13" s="2">
        <v>44512</v>
      </c>
      <c r="C13" s="2">
        <v>44567</v>
      </c>
      <c r="D13" t="s">
        <v>15</v>
      </c>
      <c r="E13" s="1" t="s">
        <v>36</v>
      </c>
      <c r="F13">
        <v>0.4</v>
      </c>
      <c r="G13">
        <v>0.5</v>
      </c>
      <c r="H13">
        <f>Vaccination!S735</f>
        <v>0.41370000000000007</v>
      </c>
    </row>
    <row r="14" spans="1:9" x14ac:dyDescent="0.3">
      <c r="A14">
        <v>13</v>
      </c>
      <c r="B14" s="2">
        <v>44568</v>
      </c>
      <c r="C14" s="2">
        <v>44598</v>
      </c>
      <c r="D14" t="s">
        <v>16</v>
      </c>
      <c r="E14" s="1" t="s">
        <v>37</v>
      </c>
      <c r="F14">
        <v>0.55000000000000004</v>
      </c>
      <c r="G14">
        <v>0.65</v>
      </c>
      <c r="H14">
        <f>Vaccination!S762</f>
        <v>0.51135000000000008</v>
      </c>
      <c r="I14" s="1"/>
    </row>
    <row r="15" spans="1:9" x14ac:dyDescent="0.3">
      <c r="A15">
        <v>14</v>
      </c>
      <c r="B15" s="2">
        <v>44599</v>
      </c>
      <c r="C15" s="2">
        <v>44624</v>
      </c>
      <c r="D15" t="s">
        <v>17</v>
      </c>
      <c r="E15" s="1" t="s">
        <v>23</v>
      </c>
      <c r="F15">
        <v>0.35</v>
      </c>
      <c r="G15">
        <v>0.45</v>
      </c>
      <c r="H15">
        <f>Vaccination!S794</f>
        <v>0.64340000000000008</v>
      </c>
    </row>
    <row r="16" spans="1:9" x14ac:dyDescent="0.3">
      <c r="A16">
        <v>15</v>
      </c>
      <c r="B16" s="2">
        <v>44625</v>
      </c>
      <c r="C16" s="2">
        <v>44829</v>
      </c>
      <c r="D16" t="s">
        <v>18</v>
      </c>
      <c r="E16" s="1" t="s">
        <v>25</v>
      </c>
      <c r="F16">
        <v>0.05</v>
      </c>
      <c r="G16">
        <v>0.25</v>
      </c>
      <c r="H16">
        <f>Vaccination!S999</f>
        <v>0.81370000000000009</v>
      </c>
    </row>
    <row r="17" spans="1:9" x14ac:dyDescent="0.3">
      <c r="A17">
        <v>16</v>
      </c>
      <c r="B17" s="2">
        <v>44830</v>
      </c>
      <c r="C17" s="2">
        <v>44865</v>
      </c>
      <c r="D17" t="s">
        <v>19</v>
      </c>
      <c r="E17" s="1" t="s">
        <v>24</v>
      </c>
      <c r="F17">
        <v>0.05</v>
      </c>
      <c r="G17">
        <v>0.2</v>
      </c>
      <c r="H17">
        <f>Vaccination!S1027</f>
        <v>0.82955000000000001</v>
      </c>
    </row>
    <row r="18" spans="1:9" x14ac:dyDescent="0.3">
      <c r="A18">
        <v>17</v>
      </c>
      <c r="B18" s="2">
        <v>44866</v>
      </c>
      <c r="C18" s="2">
        <v>44895</v>
      </c>
      <c r="D18" t="s">
        <v>20</v>
      </c>
      <c r="E18" s="1" t="s">
        <v>38</v>
      </c>
      <c r="F18">
        <v>0</v>
      </c>
      <c r="G18">
        <v>0.15</v>
      </c>
      <c r="H18">
        <f>Vaccination!S1064</f>
        <v>0.83894999999999997</v>
      </c>
    </row>
    <row r="19" spans="1:9" x14ac:dyDescent="0.3">
      <c r="A19">
        <v>18</v>
      </c>
      <c r="B19" s="2">
        <v>44896</v>
      </c>
      <c r="C19" s="2">
        <v>44926</v>
      </c>
      <c r="D19" t="s">
        <v>21</v>
      </c>
      <c r="E19" s="1" t="s">
        <v>39</v>
      </c>
      <c r="F19">
        <v>0.05</v>
      </c>
      <c r="G19">
        <v>0.2</v>
      </c>
      <c r="H19">
        <f>Vaccination!S1085</f>
        <v>0.84495000000000009</v>
      </c>
      <c r="I19" s="1"/>
    </row>
    <row r="23" spans="1:9" x14ac:dyDescent="0.3">
      <c r="E23" t="s">
        <v>43</v>
      </c>
    </row>
  </sheetData>
  <hyperlinks>
    <hyperlink ref="E2" r:id="rId1" xr:uid="{F235FD69-D72A-4ADA-8015-FC0B225AC6A8}"/>
    <hyperlink ref="E3" r:id="rId2" xr:uid="{291528ED-4174-4E6F-B67B-404E345F2899}"/>
    <hyperlink ref="E4" r:id="rId3" xr:uid="{C8774471-813A-4331-A047-7DE6638CB79D}"/>
    <hyperlink ref="E6" r:id="rId4" xr:uid="{554226D6-A07B-40C7-B09C-88BB53A4549E}"/>
    <hyperlink ref="E7" r:id="rId5" xr:uid="{51F57471-5805-483B-BCDE-615626397813}"/>
    <hyperlink ref="E10" r:id="rId6" xr:uid="{27B6781D-BE30-4458-B550-07F22BAE4736}"/>
    <hyperlink ref="E11" r:id="rId7" xr:uid="{EC53E89A-276C-4527-80EB-B07962DF064A}"/>
    <hyperlink ref="E12" r:id="rId8" xr:uid="{A5D6D373-5070-4B65-86D5-0679013C7C78}"/>
    <hyperlink ref="E13" r:id="rId9" xr:uid="{4AC19E38-F873-4EAA-B33B-15EA9BC9FA00}"/>
    <hyperlink ref="E15" r:id="rId10" xr:uid="{974DD8B0-213E-4867-BCC1-1B1F5E44C271}"/>
    <hyperlink ref="E16" r:id="rId11" xr:uid="{32BA2284-6692-45B4-884B-1C0364B28DFF}"/>
    <hyperlink ref="E17" r:id="rId12" xr:uid="{FB94CF5F-06E4-4FC2-BFAE-607B0C1518E9}"/>
    <hyperlink ref="E5" r:id="rId13" xr:uid="{0B5849FE-451E-4A8E-9C87-D3A74937A29B}"/>
    <hyperlink ref="E8" r:id="rId14" display="WHO (vaccine launch 2021)" xr:uid="{A603EAA1-3888-40E7-A35A-5D8B83B191F4}"/>
    <hyperlink ref="E9" r:id="rId15" display="WHO Nepal (advisory)" xr:uid="{B63BCBBD-C97A-4871-847F-6518E9F5AF83}"/>
    <hyperlink ref="E14" r:id="rId16" display="omr13 (notice)" xr:uid="{2262E5E6-6D40-4CA7-A5BB-4B756E2E4D1C}"/>
    <hyperlink ref="E18" r:id="rId17" display="who17 (notice)" xr:uid="{1DC2C92E-6975-4F8A-AD6D-E2C39FE4EE9C}"/>
    <hyperlink ref="E19" r:id="rId18" display="postpand18 (notice)" xr:uid="{F5164E68-9EC2-4C9F-8EEB-209FD45A54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707C-76DC-4898-8755-79787CCF7ADF}">
  <dimension ref="A1:T1423"/>
  <sheetViews>
    <sheetView tabSelected="1" topLeftCell="A1075" workbookViewId="0">
      <selection activeCell="L1091" sqref="L1091"/>
    </sheetView>
  </sheetViews>
  <sheetFormatPr defaultRowHeight="14.4" x14ac:dyDescent="0.3"/>
  <cols>
    <col min="1" max="1" width="12.21875" customWidth="1"/>
    <col min="2" max="2" width="10.44140625" customWidth="1"/>
    <col min="10" max="10" width="8.88671875" customWidth="1"/>
    <col min="11" max="11" width="13.33203125" customWidth="1"/>
    <col min="12" max="12" width="13.77734375" customWidth="1"/>
    <col min="13" max="13" width="14.88671875" customWidth="1"/>
    <col min="14" max="14" width="11.109375" customWidth="1"/>
    <col min="15" max="15" width="12.33203125" customWidth="1"/>
    <col min="19" max="19" width="10.33203125" customWidth="1"/>
  </cols>
  <sheetData>
    <row r="1" spans="1:20" x14ac:dyDescent="0.3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thickBot="1" x14ac:dyDescent="0.35">
      <c r="A2" s="13" t="s">
        <v>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5" thickBot="1" x14ac:dyDescent="0.35">
      <c r="A3" s="10" t="s">
        <v>66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7" t="s">
        <v>62</v>
      </c>
      <c r="R3" s="8"/>
      <c r="S3" s="8"/>
      <c r="T3" s="9"/>
    </row>
    <row r="4" spans="1:20" ht="57.6" x14ac:dyDescent="0.3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4" t="s">
        <v>60</v>
      </c>
      <c r="Q4" s="4"/>
      <c r="R4" s="4" t="s">
        <v>63</v>
      </c>
      <c r="S4" s="14" t="s">
        <v>67</v>
      </c>
    </row>
    <row r="5" spans="1:20" x14ac:dyDescent="0.3">
      <c r="A5" s="5">
        <v>43835</v>
      </c>
      <c r="B5" t="s">
        <v>61</v>
      </c>
      <c r="P5">
        <v>0</v>
      </c>
      <c r="R5">
        <f>J5-K5</f>
        <v>0</v>
      </c>
      <c r="S5" s="3">
        <f>MIN(1, (0.5*MAX(R5,0) + 1*K5)/100 )</f>
        <v>0</v>
      </c>
    </row>
    <row r="6" spans="1:20" x14ac:dyDescent="0.3">
      <c r="A6" s="5">
        <v>43836</v>
      </c>
      <c r="B6" t="s">
        <v>61</v>
      </c>
      <c r="P6">
        <v>0</v>
      </c>
      <c r="R6">
        <f t="shared" ref="R6:R69" si="0">J6-K6</f>
        <v>0</v>
      </c>
      <c r="S6" s="3">
        <f t="shared" ref="S6:S69" si="1">MIN(1, (0.5*MAX(R6,0) + 1*K6)/100 )</f>
        <v>0</v>
      </c>
    </row>
    <row r="7" spans="1:20" x14ac:dyDescent="0.3">
      <c r="A7" s="5">
        <v>43837</v>
      </c>
      <c r="B7" t="s">
        <v>61</v>
      </c>
      <c r="P7">
        <v>0</v>
      </c>
      <c r="R7">
        <f t="shared" si="0"/>
        <v>0</v>
      </c>
      <c r="S7" s="3">
        <f t="shared" si="1"/>
        <v>0</v>
      </c>
    </row>
    <row r="8" spans="1:20" x14ac:dyDescent="0.3">
      <c r="A8" s="5">
        <v>43838</v>
      </c>
      <c r="B8" t="s">
        <v>61</v>
      </c>
      <c r="P8">
        <v>0</v>
      </c>
      <c r="R8">
        <f t="shared" si="0"/>
        <v>0</v>
      </c>
      <c r="S8" s="3">
        <f t="shared" si="1"/>
        <v>0</v>
      </c>
    </row>
    <row r="9" spans="1:20" x14ac:dyDescent="0.3">
      <c r="A9" s="5">
        <v>43839</v>
      </c>
      <c r="B9" t="s">
        <v>61</v>
      </c>
      <c r="P9">
        <v>0</v>
      </c>
      <c r="R9">
        <f t="shared" si="0"/>
        <v>0</v>
      </c>
      <c r="S9" s="3">
        <f t="shared" si="1"/>
        <v>0</v>
      </c>
    </row>
    <row r="10" spans="1:20" x14ac:dyDescent="0.3">
      <c r="A10" s="5">
        <v>43840</v>
      </c>
      <c r="B10" t="s">
        <v>61</v>
      </c>
      <c r="P10">
        <v>0</v>
      </c>
      <c r="R10">
        <f t="shared" si="0"/>
        <v>0</v>
      </c>
      <c r="S10" s="3">
        <f t="shared" si="1"/>
        <v>0</v>
      </c>
    </row>
    <row r="11" spans="1:20" x14ac:dyDescent="0.3">
      <c r="A11" s="5">
        <v>43841</v>
      </c>
      <c r="B11" t="s">
        <v>61</v>
      </c>
      <c r="P11">
        <v>0</v>
      </c>
      <c r="R11">
        <f t="shared" si="0"/>
        <v>0</v>
      </c>
      <c r="S11" s="3">
        <f t="shared" si="1"/>
        <v>0</v>
      </c>
    </row>
    <row r="12" spans="1:20" x14ac:dyDescent="0.3">
      <c r="A12" s="5">
        <v>43842</v>
      </c>
      <c r="B12" t="s">
        <v>61</v>
      </c>
      <c r="P12">
        <v>0</v>
      </c>
      <c r="R12">
        <f t="shared" si="0"/>
        <v>0</v>
      </c>
      <c r="S12" s="3">
        <f t="shared" si="1"/>
        <v>0</v>
      </c>
    </row>
    <row r="13" spans="1:20" x14ac:dyDescent="0.3">
      <c r="A13" s="5">
        <v>43843</v>
      </c>
      <c r="B13" t="s">
        <v>61</v>
      </c>
      <c r="P13">
        <v>0</v>
      </c>
      <c r="R13">
        <f t="shared" si="0"/>
        <v>0</v>
      </c>
      <c r="S13" s="3">
        <f t="shared" si="1"/>
        <v>0</v>
      </c>
    </row>
    <row r="14" spans="1:20" x14ac:dyDescent="0.3">
      <c r="A14" s="5">
        <v>43844</v>
      </c>
      <c r="B14" t="s">
        <v>61</v>
      </c>
      <c r="P14">
        <v>0</v>
      </c>
      <c r="R14">
        <f t="shared" si="0"/>
        <v>0</v>
      </c>
      <c r="S14" s="3">
        <f t="shared" si="1"/>
        <v>0</v>
      </c>
    </row>
    <row r="15" spans="1:20" x14ac:dyDescent="0.3">
      <c r="A15" s="5">
        <v>43845</v>
      </c>
      <c r="B15" t="s">
        <v>61</v>
      </c>
      <c r="P15">
        <v>0</v>
      </c>
      <c r="R15">
        <f t="shared" si="0"/>
        <v>0</v>
      </c>
      <c r="S15" s="3">
        <f t="shared" si="1"/>
        <v>0</v>
      </c>
    </row>
    <row r="16" spans="1:20" x14ac:dyDescent="0.3">
      <c r="A16" s="5">
        <v>43846</v>
      </c>
      <c r="B16" t="s">
        <v>61</v>
      </c>
      <c r="P16">
        <v>5.56</v>
      </c>
      <c r="R16">
        <f t="shared" si="0"/>
        <v>0</v>
      </c>
      <c r="S16" s="3">
        <f t="shared" si="1"/>
        <v>0</v>
      </c>
    </row>
    <row r="17" spans="1:19" x14ac:dyDescent="0.3">
      <c r="A17" s="5">
        <v>43847</v>
      </c>
      <c r="B17" t="s">
        <v>61</v>
      </c>
      <c r="P17">
        <v>5.56</v>
      </c>
      <c r="R17">
        <f t="shared" si="0"/>
        <v>0</v>
      </c>
      <c r="S17" s="3">
        <f t="shared" si="1"/>
        <v>0</v>
      </c>
    </row>
    <row r="18" spans="1:19" x14ac:dyDescent="0.3">
      <c r="A18" s="5">
        <v>43848</v>
      </c>
      <c r="B18" t="s">
        <v>61</v>
      </c>
      <c r="P18">
        <v>5.56</v>
      </c>
      <c r="R18">
        <f t="shared" si="0"/>
        <v>0</v>
      </c>
      <c r="S18" s="3">
        <f t="shared" si="1"/>
        <v>0</v>
      </c>
    </row>
    <row r="19" spans="1:19" x14ac:dyDescent="0.3">
      <c r="A19" s="5">
        <v>43849</v>
      </c>
      <c r="B19" t="s">
        <v>61</v>
      </c>
      <c r="P19">
        <v>5.56</v>
      </c>
      <c r="R19">
        <f t="shared" si="0"/>
        <v>0</v>
      </c>
      <c r="S19" s="3">
        <f t="shared" si="1"/>
        <v>0</v>
      </c>
    </row>
    <row r="20" spans="1:19" x14ac:dyDescent="0.3">
      <c r="A20" s="5">
        <v>43850</v>
      </c>
      <c r="B20" t="s">
        <v>61</v>
      </c>
      <c r="P20">
        <v>5.56</v>
      </c>
      <c r="R20">
        <f t="shared" si="0"/>
        <v>0</v>
      </c>
      <c r="S20" s="3">
        <f t="shared" si="1"/>
        <v>0</v>
      </c>
    </row>
    <row r="21" spans="1:19" x14ac:dyDescent="0.3">
      <c r="A21" s="5">
        <v>43851</v>
      </c>
      <c r="B21" t="s">
        <v>61</v>
      </c>
      <c r="P21">
        <v>5.56</v>
      </c>
      <c r="R21">
        <f t="shared" si="0"/>
        <v>0</v>
      </c>
      <c r="S21" s="3">
        <f t="shared" si="1"/>
        <v>0</v>
      </c>
    </row>
    <row r="22" spans="1:19" x14ac:dyDescent="0.3">
      <c r="A22" s="5">
        <v>43852</v>
      </c>
      <c r="B22" t="s">
        <v>61</v>
      </c>
      <c r="P22">
        <v>5.56</v>
      </c>
      <c r="R22">
        <f t="shared" si="0"/>
        <v>0</v>
      </c>
      <c r="S22" s="3">
        <f t="shared" si="1"/>
        <v>0</v>
      </c>
    </row>
    <row r="23" spans="1:19" x14ac:dyDescent="0.3">
      <c r="A23" s="5">
        <v>43853</v>
      </c>
      <c r="B23" t="s">
        <v>61</v>
      </c>
      <c r="P23">
        <v>5.56</v>
      </c>
      <c r="R23">
        <f t="shared" si="0"/>
        <v>0</v>
      </c>
      <c r="S23" s="3">
        <f t="shared" si="1"/>
        <v>0</v>
      </c>
    </row>
    <row r="24" spans="1:19" x14ac:dyDescent="0.3">
      <c r="A24" s="5">
        <v>43854</v>
      </c>
      <c r="B24" t="s">
        <v>61</v>
      </c>
      <c r="P24">
        <v>5.56</v>
      </c>
      <c r="R24">
        <f t="shared" si="0"/>
        <v>0</v>
      </c>
      <c r="S24" s="3">
        <f t="shared" si="1"/>
        <v>0</v>
      </c>
    </row>
    <row r="25" spans="1:19" x14ac:dyDescent="0.3">
      <c r="A25" s="5">
        <v>43855</v>
      </c>
      <c r="B25" t="s">
        <v>61</v>
      </c>
      <c r="P25">
        <v>8.33</v>
      </c>
      <c r="R25">
        <f t="shared" si="0"/>
        <v>0</v>
      </c>
      <c r="S25" s="3">
        <f t="shared" si="1"/>
        <v>0</v>
      </c>
    </row>
    <row r="26" spans="1:19" x14ac:dyDescent="0.3">
      <c r="A26" s="5">
        <v>43856</v>
      </c>
      <c r="B26" t="s">
        <v>61</v>
      </c>
      <c r="P26">
        <v>8.33</v>
      </c>
      <c r="R26">
        <f t="shared" si="0"/>
        <v>0</v>
      </c>
      <c r="S26" s="3">
        <f t="shared" si="1"/>
        <v>0</v>
      </c>
    </row>
    <row r="27" spans="1:19" x14ac:dyDescent="0.3">
      <c r="A27" s="5">
        <v>43857</v>
      </c>
      <c r="B27" t="s">
        <v>61</v>
      </c>
      <c r="P27">
        <v>8.33</v>
      </c>
      <c r="R27">
        <f t="shared" si="0"/>
        <v>0</v>
      </c>
      <c r="S27" s="3">
        <f t="shared" si="1"/>
        <v>0</v>
      </c>
    </row>
    <row r="28" spans="1:19" x14ac:dyDescent="0.3">
      <c r="A28" s="5">
        <v>43858</v>
      </c>
      <c r="B28" t="s">
        <v>61</v>
      </c>
      <c r="P28">
        <v>13.89</v>
      </c>
      <c r="R28">
        <f t="shared" si="0"/>
        <v>0</v>
      </c>
      <c r="S28" s="3">
        <f t="shared" si="1"/>
        <v>0</v>
      </c>
    </row>
    <row r="29" spans="1:19" x14ac:dyDescent="0.3">
      <c r="A29" s="5">
        <v>43859</v>
      </c>
      <c r="B29" t="s">
        <v>61</v>
      </c>
      <c r="P29">
        <v>13.89</v>
      </c>
      <c r="R29">
        <f t="shared" si="0"/>
        <v>0</v>
      </c>
      <c r="S29" s="3">
        <f t="shared" si="1"/>
        <v>0</v>
      </c>
    </row>
    <row r="30" spans="1:19" x14ac:dyDescent="0.3">
      <c r="A30" s="5">
        <v>43860</v>
      </c>
      <c r="B30" t="s">
        <v>61</v>
      </c>
      <c r="P30">
        <v>13.89</v>
      </c>
      <c r="R30">
        <f t="shared" si="0"/>
        <v>0</v>
      </c>
      <c r="S30" s="3">
        <f t="shared" si="1"/>
        <v>0</v>
      </c>
    </row>
    <row r="31" spans="1:19" x14ac:dyDescent="0.3">
      <c r="A31" s="5">
        <v>43861</v>
      </c>
      <c r="B31" t="s">
        <v>61</v>
      </c>
      <c r="P31">
        <v>13.89</v>
      </c>
      <c r="R31">
        <f t="shared" si="0"/>
        <v>0</v>
      </c>
      <c r="S31" s="3">
        <f t="shared" si="1"/>
        <v>0</v>
      </c>
    </row>
    <row r="32" spans="1:19" x14ac:dyDescent="0.3">
      <c r="A32" s="5">
        <v>43862</v>
      </c>
      <c r="B32" t="s">
        <v>61</v>
      </c>
      <c r="P32">
        <v>13.89</v>
      </c>
      <c r="R32">
        <f t="shared" si="0"/>
        <v>0</v>
      </c>
      <c r="S32" s="3">
        <f t="shared" si="1"/>
        <v>0</v>
      </c>
    </row>
    <row r="33" spans="1:19" x14ac:dyDescent="0.3">
      <c r="A33" s="5">
        <v>43863</v>
      </c>
      <c r="B33" t="s">
        <v>61</v>
      </c>
      <c r="P33">
        <v>13.89</v>
      </c>
      <c r="R33">
        <f t="shared" si="0"/>
        <v>0</v>
      </c>
      <c r="S33" s="3">
        <f t="shared" si="1"/>
        <v>0</v>
      </c>
    </row>
    <row r="34" spans="1:19" x14ac:dyDescent="0.3">
      <c r="A34" s="5">
        <v>43864</v>
      </c>
      <c r="B34" t="s">
        <v>61</v>
      </c>
      <c r="P34">
        <v>13.89</v>
      </c>
      <c r="R34">
        <f t="shared" si="0"/>
        <v>0</v>
      </c>
      <c r="S34" s="3">
        <f t="shared" si="1"/>
        <v>0</v>
      </c>
    </row>
    <row r="35" spans="1:19" x14ac:dyDescent="0.3">
      <c r="A35" s="5">
        <v>43865</v>
      </c>
      <c r="B35" t="s">
        <v>61</v>
      </c>
      <c r="P35">
        <v>16.670000000000002</v>
      </c>
      <c r="R35">
        <f t="shared" si="0"/>
        <v>0</v>
      </c>
      <c r="S35" s="3">
        <f t="shared" si="1"/>
        <v>0</v>
      </c>
    </row>
    <row r="36" spans="1:19" x14ac:dyDescent="0.3">
      <c r="A36" s="5">
        <v>43866</v>
      </c>
      <c r="B36" t="s">
        <v>61</v>
      </c>
      <c r="P36">
        <v>16.670000000000002</v>
      </c>
      <c r="R36">
        <f t="shared" si="0"/>
        <v>0</v>
      </c>
      <c r="S36" s="3">
        <f t="shared" si="1"/>
        <v>0</v>
      </c>
    </row>
    <row r="37" spans="1:19" x14ac:dyDescent="0.3">
      <c r="A37" s="5">
        <v>43867</v>
      </c>
      <c r="B37" t="s">
        <v>61</v>
      </c>
      <c r="P37">
        <v>16.670000000000002</v>
      </c>
      <c r="R37">
        <f t="shared" si="0"/>
        <v>0</v>
      </c>
      <c r="S37" s="3">
        <f t="shared" si="1"/>
        <v>0</v>
      </c>
    </row>
    <row r="38" spans="1:19" x14ac:dyDescent="0.3">
      <c r="A38" s="5">
        <v>43868</v>
      </c>
      <c r="B38" t="s">
        <v>61</v>
      </c>
      <c r="P38">
        <v>16.670000000000002</v>
      </c>
      <c r="R38">
        <f t="shared" si="0"/>
        <v>0</v>
      </c>
      <c r="S38" s="3">
        <f t="shared" si="1"/>
        <v>0</v>
      </c>
    </row>
    <row r="39" spans="1:19" x14ac:dyDescent="0.3">
      <c r="A39" s="5">
        <v>43869</v>
      </c>
      <c r="B39" t="s">
        <v>61</v>
      </c>
      <c r="P39">
        <v>16.670000000000002</v>
      </c>
      <c r="R39">
        <f t="shared" si="0"/>
        <v>0</v>
      </c>
      <c r="S39" s="3">
        <f t="shared" si="1"/>
        <v>0</v>
      </c>
    </row>
    <row r="40" spans="1:19" x14ac:dyDescent="0.3">
      <c r="A40" s="5">
        <v>43870</v>
      </c>
      <c r="B40" t="s">
        <v>61</v>
      </c>
      <c r="P40">
        <v>16.670000000000002</v>
      </c>
      <c r="R40">
        <f t="shared" si="0"/>
        <v>0</v>
      </c>
      <c r="S40" s="3">
        <f t="shared" si="1"/>
        <v>0</v>
      </c>
    </row>
    <row r="41" spans="1:19" x14ac:dyDescent="0.3">
      <c r="A41" s="5">
        <v>43871</v>
      </c>
      <c r="B41" t="s">
        <v>61</v>
      </c>
      <c r="P41">
        <v>16.670000000000002</v>
      </c>
      <c r="R41">
        <f t="shared" si="0"/>
        <v>0</v>
      </c>
      <c r="S41" s="3">
        <f t="shared" si="1"/>
        <v>0</v>
      </c>
    </row>
    <row r="42" spans="1:19" x14ac:dyDescent="0.3">
      <c r="A42" s="5">
        <v>43872</v>
      </c>
      <c r="B42" t="s">
        <v>61</v>
      </c>
      <c r="P42">
        <v>16.670000000000002</v>
      </c>
      <c r="R42">
        <f t="shared" si="0"/>
        <v>0</v>
      </c>
      <c r="S42" s="3">
        <f t="shared" si="1"/>
        <v>0</v>
      </c>
    </row>
    <row r="43" spans="1:19" x14ac:dyDescent="0.3">
      <c r="A43" s="5">
        <v>43873</v>
      </c>
      <c r="B43" t="s">
        <v>61</v>
      </c>
      <c r="P43">
        <v>16.670000000000002</v>
      </c>
      <c r="R43">
        <f t="shared" si="0"/>
        <v>0</v>
      </c>
      <c r="S43" s="3">
        <f t="shared" si="1"/>
        <v>0</v>
      </c>
    </row>
    <row r="44" spans="1:19" x14ac:dyDescent="0.3">
      <c r="A44" s="5">
        <v>43874</v>
      </c>
      <c r="B44" t="s">
        <v>61</v>
      </c>
      <c r="P44">
        <v>16.670000000000002</v>
      </c>
      <c r="R44">
        <f t="shared" si="0"/>
        <v>0</v>
      </c>
      <c r="S44" s="3">
        <f t="shared" si="1"/>
        <v>0</v>
      </c>
    </row>
    <row r="45" spans="1:19" x14ac:dyDescent="0.3">
      <c r="A45" s="5">
        <v>43875</v>
      </c>
      <c r="B45" t="s">
        <v>61</v>
      </c>
      <c r="P45">
        <v>16.670000000000002</v>
      </c>
      <c r="R45">
        <f t="shared" si="0"/>
        <v>0</v>
      </c>
      <c r="S45" s="3">
        <f t="shared" si="1"/>
        <v>0</v>
      </c>
    </row>
    <row r="46" spans="1:19" x14ac:dyDescent="0.3">
      <c r="A46" s="5">
        <v>43876</v>
      </c>
      <c r="B46" t="s">
        <v>61</v>
      </c>
      <c r="P46">
        <v>16.670000000000002</v>
      </c>
      <c r="R46">
        <f t="shared" si="0"/>
        <v>0</v>
      </c>
      <c r="S46" s="3">
        <f t="shared" si="1"/>
        <v>0</v>
      </c>
    </row>
    <row r="47" spans="1:19" x14ac:dyDescent="0.3">
      <c r="A47" s="5">
        <v>43877</v>
      </c>
      <c r="B47" t="s">
        <v>61</v>
      </c>
      <c r="P47">
        <v>16.670000000000002</v>
      </c>
      <c r="R47">
        <f t="shared" si="0"/>
        <v>0</v>
      </c>
      <c r="S47" s="3">
        <f t="shared" si="1"/>
        <v>0</v>
      </c>
    </row>
    <row r="48" spans="1:19" x14ac:dyDescent="0.3">
      <c r="A48" s="5">
        <v>43878</v>
      </c>
      <c r="B48" t="s">
        <v>61</v>
      </c>
      <c r="P48">
        <v>16.670000000000002</v>
      </c>
      <c r="R48">
        <f t="shared" si="0"/>
        <v>0</v>
      </c>
      <c r="S48" s="3">
        <f t="shared" si="1"/>
        <v>0</v>
      </c>
    </row>
    <row r="49" spans="1:19" x14ac:dyDescent="0.3">
      <c r="A49" s="5">
        <v>43879</v>
      </c>
      <c r="B49" t="s">
        <v>61</v>
      </c>
      <c r="P49">
        <v>16.670000000000002</v>
      </c>
      <c r="R49">
        <f t="shared" si="0"/>
        <v>0</v>
      </c>
      <c r="S49" s="3">
        <f t="shared" si="1"/>
        <v>0</v>
      </c>
    </row>
    <row r="50" spans="1:19" x14ac:dyDescent="0.3">
      <c r="A50" s="5">
        <v>43880</v>
      </c>
      <c r="B50" t="s">
        <v>61</v>
      </c>
      <c r="P50">
        <v>16.670000000000002</v>
      </c>
      <c r="R50">
        <f t="shared" si="0"/>
        <v>0</v>
      </c>
      <c r="S50" s="3">
        <f t="shared" si="1"/>
        <v>0</v>
      </c>
    </row>
    <row r="51" spans="1:19" x14ac:dyDescent="0.3">
      <c r="A51" s="5">
        <v>43881</v>
      </c>
      <c r="B51" t="s">
        <v>61</v>
      </c>
      <c r="P51">
        <v>16.670000000000002</v>
      </c>
      <c r="R51">
        <f t="shared" si="0"/>
        <v>0</v>
      </c>
      <c r="S51" s="3">
        <f t="shared" si="1"/>
        <v>0</v>
      </c>
    </row>
    <row r="52" spans="1:19" x14ac:dyDescent="0.3">
      <c r="A52" s="5">
        <v>43882</v>
      </c>
      <c r="B52" t="s">
        <v>61</v>
      </c>
      <c r="P52">
        <v>16.670000000000002</v>
      </c>
      <c r="R52">
        <f t="shared" si="0"/>
        <v>0</v>
      </c>
      <c r="S52" s="3">
        <f t="shared" si="1"/>
        <v>0</v>
      </c>
    </row>
    <row r="53" spans="1:19" x14ac:dyDescent="0.3">
      <c r="A53" s="5">
        <v>43883</v>
      </c>
      <c r="B53" t="s">
        <v>61</v>
      </c>
      <c r="P53">
        <v>16.670000000000002</v>
      </c>
      <c r="R53">
        <f t="shared" si="0"/>
        <v>0</v>
      </c>
      <c r="S53" s="3">
        <f t="shared" si="1"/>
        <v>0</v>
      </c>
    </row>
    <row r="54" spans="1:19" x14ac:dyDescent="0.3">
      <c r="A54" s="5">
        <v>43884</v>
      </c>
      <c r="B54" t="s">
        <v>61</v>
      </c>
      <c r="P54">
        <v>16.670000000000002</v>
      </c>
      <c r="R54">
        <f t="shared" si="0"/>
        <v>0</v>
      </c>
      <c r="S54" s="3">
        <f t="shared" si="1"/>
        <v>0</v>
      </c>
    </row>
    <row r="55" spans="1:19" x14ac:dyDescent="0.3">
      <c r="A55" s="5">
        <v>43885</v>
      </c>
      <c r="B55" t="s">
        <v>61</v>
      </c>
      <c r="P55">
        <v>16.670000000000002</v>
      </c>
      <c r="R55">
        <f t="shared" si="0"/>
        <v>0</v>
      </c>
      <c r="S55" s="3">
        <f t="shared" si="1"/>
        <v>0</v>
      </c>
    </row>
    <row r="56" spans="1:19" x14ac:dyDescent="0.3">
      <c r="A56" s="5">
        <v>43886</v>
      </c>
      <c r="B56" t="s">
        <v>61</v>
      </c>
      <c r="P56">
        <v>16.670000000000002</v>
      </c>
      <c r="R56">
        <f t="shared" si="0"/>
        <v>0</v>
      </c>
      <c r="S56" s="3">
        <f t="shared" si="1"/>
        <v>0</v>
      </c>
    </row>
    <row r="57" spans="1:19" x14ac:dyDescent="0.3">
      <c r="A57" s="5">
        <v>43887</v>
      </c>
      <c r="B57" t="s">
        <v>61</v>
      </c>
      <c r="P57">
        <v>16.670000000000002</v>
      </c>
      <c r="R57">
        <f t="shared" si="0"/>
        <v>0</v>
      </c>
      <c r="S57" s="3">
        <f t="shared" si="1"/>
        <v>0</v>
      </c>
    </row>
    <row r="58" spans="1:19" x14ac:dyDescent="0.3">
      <c r="A58" s="5">
        <v>43888</v>
      </c>
      <c r="B58" t="s">
        <v>61</v>
      </c>
      <c r="P58">
        <v>16.670000000000002</v>
      </c>
      <c r="R58">
        <f t="shared" si="0"/>
        <v>0</v>
      </c>
      <c r="S58" s="3">
        <f t="shared" si="1"/>
        <v>0</v>
      </c>
    </row>
    <row r="59" spans="1:19" x14ac:dyDescent="0.3">
      <c r="A59" s="5">
        <v>43889</v>
      </c>
      <c r="B59" t="s">
        <v>61</v>
      </c>
      <c r="P59">
        <v>16.670000000000002</v>
      </c>
      <c r="R59">
        <f t="shared" si="0"/>
        <v>0</v>
      </c>
      <c r="S59" s="3">
        <f t="shared" si="1"/>
        <v>0</v>
      </c>
    </row>
    <row r="60" spans="1:19" x14ac:dyDescent="0.3">
      <c r="A60" s="5">
        <v>43890</v>
      </c>
      <c r="B60" t="s">
        <v>61</v>
      </c>
      <c r="P60">
        <v>16.670000000000002</v>
      </c>
      <c r="R60">
        <f t="shared" si="0"/>
        <v>0</v>
      </c>
      <c r="S60" s="3">
        <f t="shared" si="1"/>
        <v>0</v>
      </c>
    </row>
    <row r="61" spans="1:19" x14ac:dyDescent="0.3">
      <c r="A61" s="5">
        <v>43891</v>
      </c>
      <c r="B61" t="s">
        <v>61</v>
      </c>
      <c r="P61">
        <v>22.22</v>
      </c>
      <c r="R61">
        <f t="shared" si="0"/>
        <v>0</v>
      </c>
      <c r="S61" s="3">
        <f t="shared" si="1"/>
        <v>0</v>
      </c>
    </row>
    <row r="62" spans="1:19" x14ac:dyDescent="0.3">
      <c r="A62" s="5">
        <v>43892</v>
      </c>
      <c r="B62" t="s">
        <v>61</v>
      </c>
      <c r="P62">
        <v>22.22</v>
      </c>
      <c r="R62">
        <f t="shared" si="0"/>
        <v>0</v>
      </c>
      <c r="S62" s="3">
        <f t="shared" si="1"/>
        <v>0</v>
      </c>
    </row>
    <row r="63" spans="1:19" x14ac:dyDescent="0.3">
      <c r="A63" s="5">
        <v>43893</v>
      </c>
      <c r="B63" t="s">
        <v>61</v>
      </c>
      <c r="P63">
        <v>22.22</v>
      </c>
      <c r="R63">
        <f t="shared" si="0"/>
        <v>0</v>
      </c>
      <c r="S63" s="3">
        <f t="shared" si="1"/>
        <v>0</v>
      </c>
    </row>
    <row r="64" spans="1:19" x14ac:dyDescent="0.3">
      <c r="A64" s="5">
        <v>43894</v>
      </c>
      <c r="B64" t="s">
        <v>61</v>
      </c>
      <c r="P64">
        <v>22.22</v>
      </c>
      <c r="R64">
        <f t="shared" si="0"/>
        <v>0</v>
      </c>
      <c r="S64" s="3">
        <f t="shared" si="1"/>
        <v>0</v>
      </c>
    </row>
    <row r="65" spans="1:19" x14ac:dyDescent="0.3">
      <c r="A65" s="5">
        <v>43895</v>
      </c>
      <c r="B65" t="s">
        <v>61</v>
      </c>
      <c r="P65">
        <v>22.22</v>
      </c>
      <c r="R65">
        <f t="shared" si="0"/>
        <v>0</v>
      </c>
      <c r="S65" s="3">
        <f t="shared" si="1"/>
        <v>0</v>
      </c>
    </row>
    <row r="66" spans="1:19" x14ac:dyDescent="0.3">
      <c r="A66" s="5">
        <v>43896</v>
      </c>
      <c r="B66" t="s">
        <v>61</v>
      </c>
      <c r="P66">
        <v>22.22</v>
      </c>
      <c r="R66">
        <f t="shared" si="0"/>
        <v>0</v>
      </c>
      <c r="S66" s="3">
        <f t="shared" si="1"/>
        <v>0</v>
      </c>
    </row>
    <row r="67" spans="1:19" x14ac:dyDescent="0.3">
      <c r="A67" s="5">
        <v>43897</v>
      </c>
      <c r="B67" t="s">
        <v>61</v>
      </c>
      <c r="P67">
        <v>22.22</v>
      </c>
      <c r="R67">
        <f t="shared" si="0"/>
        <v>0</v>
      </c>
      <c r="S67" s="3">
        <f t="shared" si="1"/>
        <v>0</v>
      </c>
    </row>
    <row r="68" spans="1:19" x14ac:dyDescent="0.3">
      <c r="A68" s="5">
        <v>43898</v>
      </c>
      <c r="B68" t="s">
        <v>61</v>
      </c>
      <c r="P68">
        <v>22.22</v>
      </c>
      <c r="R68">
        <f t="shared" si="0"/>
        <v>0</v>
      </c>
      <c r="S68" s="3">
        <f t="shared" si="1"/>
        <v>0</v>
      </c>
    </row>
    <row r="69" spans="1:19" x14ac:dyDescent="0.3">
      <c r="A69" s="5">
        <v>43899</v>
      </c>
      <c r="B69" t="s">
        <v>61</v>
      </c>
      <c r="P69">
        <v>22.22</v>
      </c>
      <c r="R69">
        <f t="shared" si="0"/>
        <v>0</v>
      </c>
      <c r="S69" s="3">
        <f t="shared" si="1"/>
        <v>0</v>
      </c>
    </row>
    <row r="70" spans="1:19" x14ac:dyDescent="0.3">
      <c r="A70" s="5">
        <v>43900</v>
      </c>
      <c r="B70" t="s">
        <v>61</v>
      </c>
      <c r="P70">
        <v>22.22</v>
      </c>
      <c r="R70">
        <f t="shared" ref="R70:R133" si="2">J70-K70</f>
        <v>0</v>
      </c>
      <c r="S70" s="3">
        <f t="shared" ref="S70:S133" si="3">MIN(1, (0.5*MAX(R70,0) + 1*K70)/100 )</f>
        <v>0</v>
      </c>
    </row>
    <row r="71" spans="1:19" x14ac:dyDescent="0.3">
      <c r="A71" s="5">
        <v>43901</v>
      </c>
      <c r="B71" t="s">
        <v>61</v>
      </c>
      <c r="P71">
        <v>22.22</v>
      </c>
      <c r="R71">
        <f t="shared" si="2"/>
        <v>0</v>
      </c>
      <c r="S71" s="3">
        <f t="shared" si="3"/>
        <v>0</v>
      </c>
    </row>
    <row r="72" spans="1:19" x14ac:dyDescent="0.3">
      <c r="A72" s="5">
        <v>43902</v>
      </c>
      <c r="B72" t="s">
        <v>61</v>
      </c>
      <c r="P72">
        <v>22.22</v>
      </c>
      <c r="R72">
        <f t="shared" si="2"/>
        <v>0</v>
      </c>
      <c r="S72" s="3">
        <f t="shared" si="3"/>
        <v>0</v>
      </c>
    </row>
    <row r="73" spans="1:19" x14ac:dyDescent="0.3">
      <c r="A73" s="5">
        <v>43903</v>
      </c>
      <c r="B73" t="s">
        <v>61</v>
      </c>
      <c r="P73">
        <v>22.22</v>
      </c>
      <c r="R73">
        <f t="shared" si="2"/>
        <v>0</v>
      </c>
      <c r="S73" s="3">
        <f t="shared" si="3"/>
        <v>0</v>
      </c>
    </row>
    <row r="74" spans="1:19" x14ac:dyDescent="0.3">
      <c r="A74" s="5">
        <v>43904</v>
      </c>
      <c r="B74" t="s">
        <v>61</v>
      </c>
      <c r="P74">
        <v>22.22</v>
      </c>
      <c r="R74">
        <f t="shared" si="2"/>
        <v>0</v>
      </c>
      <c r="S74" s="3">
        <f t="shared" si="3"/>
        <v>0</v>
      </c>
    </row>
    <row r="75" spans="1:19" x14ac:dyDescent="0.3">
      <c r="A75" s="5">
        <v>43905</v>
      </c>
      <c r="B75" t="s">
        <v>61</v>
      </c>
      <c r="P75">
        <v>22.22</v>
      </c>
      <c r="R75">
        <f t="shared" si="2"/>
        <v>0</v>
      </c>
      <c r="S75" s="3">
        <f t="shared" si="3"/>
        <v>0</v>
      </c>
    </row>
    <row r="76" spans="1:19" x14ac:dyDescent="0.3">
      <c r="A76" s="5">
        <v>43906</v>
      </c>
      <c r="B76" t="s">
        <v>61</v>
      </c>
      <c r="P76">
        <v>22.22</v>
      </c>
      <c r="R76">
        <f t="shared" si="2"/>
        <v>0</v>
      </c>
      <c r="S76" s="3">
        <f t="shared" si="3"/>
        <v>0</v>
      </c>
    </row>
    <row r="77" spans="1:19" x14ac:dyDescent="0.3">
      <c r="A77" s="5">
        <v>43907</v>
      </c>
      <c r="B77" t="s">
        <v>61</v>
      </c>
      <c r="P77">
        <v>22.22</v>
      </c>
      <c r="R77">
        <f t="shared" si="2"/>
        <v>0</v>
      </c>
      <c r="S77" s="3">
        <f t="shared" si="3"/>
        <v>0</v>
      </c>
    </row>
    <row r="78" spans="1:19" x14ac:dyDescent="0.3">
      <c r="A78" s="5">
        <v>43908</v>
      </c>
      <c r="B78" t="s">
        <v>61</v>
      </c>
      <c r="P78">
        <v>36.11</v>
      </c>
      <c r="R78">
        <f t="shared" si="2"/>
        <v>0</v>
      </c>
      <c r="S78" s="3">
        <f t="shared" si="3"/>
        <v>0</v>
      </c>
    </row>
    <row r="79" spans="1:19" x14ac:dyDescent="0.3">
      <c r="A79" s="5">
        <v>43909</v>
      </c>
      <c r="B79" t="s">
        <v>61</v>
      </c>
      <c r="P79">
        <v>47.22</v>
      </c>
      <c r="R79">
        <f t="shared" si="2"/>
        <v>0</v>
      </c>
      <c r="S79" s="3">
        <f t="shared" si="3"/>
        <v>0</v>
      </c>
    </row>
    <row r="80" spans="1:19" x14ac:dyDescent="0.3">
      <c r="A80" s="5">
        <v>43910</v>
      </c>
      <c r="B80" t="s">
        <v>61</v>
      </c>
      <c r="P80">
        <v>58.33</v>
      </c>
      <c r="R80">
        <f t="shared" si="2"/>
        <v>0</v>
      </c>
      <c r="S80" s="3">
        <f t="shared" si="3"/>
        <v>0</v>
      </c>
    </row>
    <row r="81" spans="1:19" x14ac:dyDescent="0.3">
      <c r="A81" s="5">
        <v>43911</v>
      </c>
      <c r="B81" t="s">
        <v>61</v>
      </c>
      <c r="P81">
        <v>58.33</v>
      </c>
      <c r="R81">
        <f t="shared" si="2"/>
        <v>0</v>
      </c>
      <c r="S81" s="3">
        <f t="shared" si="3"/>
        <v>0</v>
      </c>
    </row>
    <row r="82" spans="1:19" x14ac:dyDescent="0.3">
      <c r="A82" s="5">
        <v>43912</v>
      </c>
      <c r="B82" t="s">
        <v>61</v>
      </c>
      <c r="P82">
        <v>78.7</v>
      </c>
      <c r="R82">
        <f t="shared" si="2"/>
        <v>0</v>
      </c>
      <c r="S82" s="3">
        <f t="shared" si="3"/>
        <v>0</v>
      </c>
    </row>
    <row r="83" spans="1:19" x14ac:dyDescent="0.3">
      <c r="A83" s="5">
        <v>43913</v>
      </c>
      <c r="B83" t="s">
        <v>61</v>
      </c>
      <c r="P83">
        <v>83.33</v>
      </c>
      <c r="R83">
        <f t="shared" si="2"/>
        <v>0</v>
      </c>
      <c r="S83" s="3">
        <f t="shared" si="3"/>
        <v>0</v>
      </c>
    </row>
    <row r="84" spans="1:19" x14ac:dyDescent="0.3">
      <c r="A84" s="5">
        <v>43914</v>
      </c>
      <c r="B84" t="s">
        <v>61</v>
      </c>
      <c r="P84">
        <v>96.3</v>
      </c>
      <c r="R84">
        <f t="shared" si="2"/>
        <v>0</v>
      </c>
      <c r="S84" s="3">
        <f t="shared" si="3"/>
        <v>0</v>
      </c>
    </row>
    <row r="85" spans="1:19" x14ac:dyDescent="0.3">
      <c r="A85" s="5">
        <v>43915</v>
      </c>
      <c r="B85" t="s">
        <v>61</v>
      </c>
      <c r="P85">
        <v>96.3</v>
      </c>
      <c r="R85">
        <f t="shared" si="2"/>
        <v>0</v>
      </c>
      <c r="S85" s="3">
        <f t="shared" si="3"/>
        <v>0</v>
      </c>
    </row>
    <row r="86" spans="1:19" x14ac:dyDescent="0.3">
      <c r="A86" s="5">
        <v>43916</v>
      </c>
      <c r="B86" t="s">
        <v>61</v>
      </c>
      <c r="P86">
        <v>96.3</v>
      </c>
      <c r="R86">
        <f t="shared" si="2"/>
        <v>0</v>
      </c>
      <c r="S86" s="3">
        <f t="shared" si="3"/>
        <v>0</v>
      </c>
    </row>
    <row r="87" spans="1:19" x14ac:dyDescent="0.3">
      <c r="A87" s="5">
        <v>43917</v>
      </c>
      <c r="B87" t="s">
        <v>61</v>
      </c>
      <c r="P87">
        <v>96.3</v>
      </c>
      <c r="R87">
        <f t="shared" si="2"/>
        <v>0</v>
      </c>
      <c r="S87" s="3">
        <f t="shared" si="3"/>
        <v>0</v>
      </c>
    </row>
    <row r="88" spans="1:19" x14ac:dyDescent="0.3">
      <c r="A88" s="5">
        <v>43918</v>
      </c>
      <c r="B88" t="s">
        <v>61</v>
      </c>
      <c r="P88">
        <v>96.3</v>
      </c>
      <c r="R88">
        <f t="shared" si="2"/>
        <v>0</v>
      </c>
      <c r="S88" s="3">
        <f t="shared" si="3"/>
        <v>0</v>
      </c>
    </row>
    <row r="89" spans="1:19" x14ac:dyDescent="0.3">
      <c r="A89" s="5">
        <v>43919</v>
      </c>
      <c r="B89" t="s">
        <v>61</v>
      </c>
      <c r="P89">
        <v>96.3</v>
      </c>
      <c r="R89">
        <f t="shared" si="2"/>
        <v>0</v>
      </c>
      <c r="S89" s="3">
        <f t="shared" si="3"/>
        <v>0</v>
      </c>
    </row>
    <row r="90" spans="1:19" x14ac:dyDescent="0.3">
      <c r="A90" s="5">
        <v>43920</v>
      </c>
      <c r="B90" t="s">
        <v>61</v>
      </c>
      <c r="P90">
        <v>96.3</v>
      </c>
      <c r="R90">
        <f t="shared" si="2"/>
        <v>0</v>
      </c>
      <c r="S90" s="3">
        <f t="shared" si="3"/>
        <v>0</v>
      </c>
    </row>
    <row r="91" spans="1:19" x14ac:dyDescent="0.3">
      <c r="A91" s="5">
        <v>43921</v>
      </c>
      <c r="B91" t="s">
        <v>61</v>
      </c>
      <c r="P91">
        <v>96.3</v>
      </c>
      <c r="R91">
        <f t="shared" si="2"/>
        <v>0</v>
      </c>
      <c r="S91" s="3">
        <f t="shared" si="3"/>
        <v>0</v>
      </c>
    </row>
    <row r="92" spans="1:19" x14ac:dyDescent="0.3">
      <c r="A92" s="5">
        <v>43922</v>
      </c>
      <c r="B92" t="s">
        <v>61</v>
      </c>
      <c r="P92">
        <v>96.3</v>
      </c>
      <c r="R92">
        <f t="shared" si="2"/>
        <v>0</v>
      </c>
      <c r="S92" s="3">
        <f t="shared" si="3"/>
        <v>0</v>
      </c>
    </row>
    <row r="93" spans="1:19" x14ac:dyDescent="0.3">
      <c r="A93" s="5">
        <v>43923</v>
      </c>
      <c r="B93" t="s">
        <v>61</v>
      </c>
      <c r="P93">
        <v>96.3</v>
      </c>
      <c r="R93">
        <f t="shared" si="2"/>
        <v>0</v>
      </c>
      <c r="S93" s="3">
        <f t="shared" si="3"/>
        <v>0</v>
      </c>
    </row>
    <row r="94" spans="1:19" x14ac:dyDescent="0.3">
      <c r="A94" s="5">
        <v>43924</v>
      </c>
      <c r="B94" t="s">
        <v>61</v>
      </c>
      <c r="P94">
        <v>96.3</v>
      </c>
      <c r="R94">
        <f t="shared" si="2"/>
        <v>0</v>
      </c>
      <c r="S94" s="3">
        <f t="shared" si="3"/>
        <v>0</v>
      </c>
    </row>
    <row r="95" spans="1:19" x14ac:dyDescent="0.3">
      <c r="A95" s="5">
        <v>43925</v>
      </c>
      <c r="B95" t="s">
        <v>61</v>
      </c>
      <c r="P95">
        <v>96.3</v>
      </c>
      <c r="R95">
        <f t="shared" si="2"/>
        <v>0</v>
      </c>
      <c r="S95" s="3">
        <f t="shared" si="3"/>
        <v>0</v>
      </c>
    </row>
    <row r="96" spans="1:19" x14ac:dyDescent="0.3">
      <c r="A96" s="5">
        <v>43926</v>
      </c>
      <c r="B96" t="s">
        <v>61</v>
      </c>
      <c r="P96">
        <v>96.3</v>
      </c>
      <c r="R96">
        <f t="shared" si="2"/>
        <v>0</v>
      </c>
      <c r="S96" s="3">
        <f t="shared" si="3"/>
        <v>0</v>
      </c>
    </row>
    <row r="97" spans="1:19" x14ac:dyDescent="0.3">
      <c r="A97" s="5">
        <v>43927</v>
      </c>
      <c r="B97" t="s">
        <v>61</v>
      </c>
      <c r="P97">
        <v>96.3</v>
      </c>
      <c r="R97">
        <f t="shared" si="2"/>
        <v>0</v>
      </c>
      <c r="S97" s="3">
        <f t="shared" si="3"/>
        <v>0</v>
      </c>
    </row>
    <row r="98" spans="1:19" x14ac:dyDescent="0.3">
      <c r="A98" s="5">
        <v>43928</v>
      </c>
      <c r="B98" t="s">
        <v>61</v>
      </c>
      <c r="P98">
        <v>96.3</v>
      </c>
      <c r="R98">
        <f t="shared" si="2"/>
        <v>0</v>
      </c>
      <c r="S98" s="3">
        <f t="shared" si="3"/>
        <v>0</v>
      </c>
    </row>
    <row r="99" spans="1:19" x14ac:dyDescent="0.3">
      <c r="A99" s="5">
        <v>43929</v>
      </c>
      <c r="B99" t="s">
        <v>61</v>
      </c>
      <c r="P99">
        <v>96.3</v>
      </c>
      <c r="R99">
        <f t="shared" si="2"/>
        <v>0</v>
      </c>
      <c r="S99" s="3">
        <f t="shared" si="3"/>
        <v>0</v>
      </c>
    </row>
    <row r="100" spans="1:19" x14ac:dyDescent="0.3">
      <c r="A100" s="5">
        <v>43930</v>
      </c>
      <c r="B100" t="s">
        <v>61</v>
      </c>
      <c r="P100">
        <v>96.3</v>
      </c>
      <c r="R100">
        <f t="shared" si="2"/>
        <v>0</v>
      </c>
      <c r="S100" s="3">
        <f t="shared" si="3"/>
        <v>0</v>
      </c>
    </row>
    <row r="101" spans="1:19" x14ac:dyDescent="0.3">
      <c r="A101" s="5">
        <v>43931</v>
      </c>
      <c r="B101" t="s">
        <v>61</v>
      </c>
      <c r="P101">
        <v>96.3</v>
      </c>
      <c r="R101">
        <f t="shared" si="2"/>
        <v>0</v>
      </c>
      <c r="S101" s="3">
        <f t="shared" si="3"/>
        <v>0</v>
      </c>
    </row>
    <row r="102" spans="1:19" x14ac:dyDescent="0.3">
      <c r="A102" s="5">
        <v>43932</v>
      </c>
      <c r="B102" t="s">
        <v>61</v>
      </c>
      <c r="P102">
        <v>96.3</v>
      </c>
      <c r="R102">
        <f t="shared" si="2"/>
        <v>0</v>
      </c>
      <c r="S102" s="3">
        <f t="shared" si="3"/>
        <v>0</v>
      </c>
    </row>
    <row r="103" spans="1:19" x14ac:dyDescent="0.3">
      <c r="A103" s="5">
        <v>43933</v>
      </c>
      <c r="B103" t="s">
        <v>61</v>
      </c>
      <c r="P103">
        <v>96.3</v>
      </c>
      <c r="R103">
        <f t="shared" si="2"/>
        <v>0</v>
      </c>
      <c r="S103" s="3">
        <f t="shared" si="3"/>
        <v>0</v>
      </c>
    </row>
    <row r="104" spans="1:19" x14ac:dyDescent="0.3">
      <c r="A104" s="5">
        <v>43934</v>
      </c>
      <c r="B104" t="s">
        <v>61</v>
      </c>
      <c r="P104">
        <v>96.3</v>
      </c>
      <c r="R104">
        <f t="shared" si="2"/>
        <v>0</v>
      </c>
      <c r="S104" s="3">
        <f t="shared" si="3"/>
        <v>0</v>
      </c>
    </row>
    <row r="105" spans="1:19" x14ac:dyDescent="0.3">
      <c r="A105" s="5">
        <v>43935</v>
      </c>
      <c r="B105" t="s">
        <v>61</v>
      </c>
      <c r="P105">
        <v>96.3</v>
      </c>
      <c r="R105">
        <f t="shared" si="2"/>
        <v>0</v>
      </c>
      <c r="S105" s="3">
        <f t="shared" si="3"/>
        <v>0</v>
      </c>
    </row>
    <row r="106" spans="1:19" x14ac:dyDescent="0.3">
      <c r="A106" s="5">
        <v>43936</v>
      </c>
      <c r="B106" t="s">
        <v>61</v>
      </c>
      <c r="P106">
        <v>96.3</v>
      </c>
      <c r="R106">
        <f t="shared" si="2"/>
        <v>0</v>
      </c>
      <c r="S106" s="3">
        <f t="shared" si="3"/>
        <v>0</v>
      </c>
    </row>
    <row r="107" spans="1:19" x14ac:dyDescent="0.3">
      <c r="A107" s="5">
        <v>43937</v>
      </c>
      <c r="B107" t="s">
        <v>61</v>
      </c>
      <c r="P107">
        <v>96.3</v>
      </c>
      <c r="R107">
        <f t="shared" si="2"/>
        <v>0</v>
      </c>
      <c r="S107" s="3">
        <f t="shared" si="3"/>
        <v>0</v>
      </c>
    </row>
    <row r="108" spans="1:19" x14ac:dyDescent="0.3">
      <c r="A108" s="5">
        <v>43938</v>
      </c>
      <c r="B108" t="s">
        <v>61</v>
      </c>
      <c r="P108">
        <v>96.3</v>
      </c>
      <c r="R108">
        <f t="shared" si="2"/>
        <v>0</v>
      </c>
      <c r="S108" s="3">
        <f t="shared" si="3"/>
        <v>0</v>
      </c>
    </row>
    <row r="109" spans="1:19" x14ac:dyDescent="0.3">
      <c r="A109" s="5">
        <v>43939</v>
      </c>
      <c r="B109" t="s">
        <v>61</v>
      </c>
      <c r="P109">
        <v>96.3</v>
      </c>
      <c r="R109">
        <f t="shared" si="2"/>
        <v>0</v>
      </c>
      <c r="S109" s="3">
        <f t="shared" si="3"/>
        <v>0</v>
      </c>
    </row>
    <row r="110" spans="1:19" x14ac:dyDescent="0.3">
      <c r="A110" s="5">
        <v>43940</v>
      </c>
      <c r="B110" t="s">
        <v>61</v>
      </c>
      <c r="P110">
        <v>96.3</v>
      </c>
      <c r="R110">
        <f t="shared" si="2"/>
        <v>0</v>
      </c>
      <c r="S110" s="3">
        <f t="shared" si="3"/>
        <v>0</v>
      </c>
    </row>
    <row r="111" spans="1:19" x14ac:dyDescent="0.3">
      <c r="A111" s="5">
        <v>43941</v>
      </c>
      <c r="B111" t="s">
        <v>61</v>
      </c>
      <c r="P111">
        <v>96.3</v>
      </c>
      <c r="R111">
        <f t="shared" si="2"/>
        <v>0</v>
      </c>
      <c r="S111" s="3">
        <f t="shared" si="3"/>
        <v>0</v>
      </c>
    </row>
    <row r="112" spans="1:19" x14ac:dyDescent="0.3">
      <c r="A112" s="5">
        <v>43942</v>
      </c>
      <c r="B112" t="s">
        <v>61</v>
      </c>
      <c r="P112">
        <v>96.3</v>
      </c>
      <c r="R112">
        <f t="shared" si="2"/>
        <v>0</v>
      </c>
      <c r="S112" s="3">
        <f t="shared" si="3"/>
        <v>0</v>
      </c>
    </row>
    <row r="113" spans="1:19" x14ac:dyDescent="0.3">
      <c r="A113" s="5">
        <v>43943</v>
      </c>
      <c r="B113" t="s">
        <v>61</v>
      </c>
      <c r="P113">
        <v>96.3</v>
      </c>
      <c r="R113">
        <f t="shared" si="2"/>
        <v>0</v>
      </c>
      <c r="S113" s="3">
        <f t="shared" si="3"/>
        <v>0</v>
      </c>
    </row>
    <row r="114" spans="1:19" x14ac:dyDescent="0.3">
      <c r="A114" s="5">
        <v>43944</v>
      </c>
      <c r="B114" t="s">
        <v>61</v>
      </c>
      <c r="P114">
        <v>96.3</v>
      </c>
      <c r="R114">
        <f t="shared" si="2"/>
        <v>0</v>
      </c>
      <c r="S114" s="3">
        <f t="shared" si="3"/>
        <v>0</v>
      </c>
    </row>
    <row r="115" spans="1:19" x14ac:dyDescent="0.3">
      <c r="A115" s="5">
        <v>43945</v>
      </c>
      <c r="B115" t="s">
        <v>61</v>
      </c>
      <c r="P115">
        <v>96.3</v>
      </c>
      <c r="R115">
        <f t="shared" si="2"/>
        <v>0</v>
      </c>
      <c r="S115" s="3">
        <f t="shared" si="3"/>
        <v>0</v>
      </c>
    </row>
    <row r="116" spans="1:19" x14ac:dyDescent="0.3">
      <c r="A116" s="5">
        <v>43946</v>
      </c>
      <c r="B116" t="s">
        <v>61</v>
      </c>
      <c r="P116">
        <v>96.3</v>
      </c>
      <c r="R116">
        <f t="shared" si="2"/>
        <v>0</v>
      </c>
      <c r="S116" s="3">
        <f t="shared" si="3"/>
        <v>0</v>
      </c>
    </row>
    <row r="117" spans="1:19" x14ac:dyDescent="0.3">
      <c r="A117" s="5">
        <v>43947</v>
      </c>
      <c r="B117" t="s">
        <v>61</v>
      </c>
      <c r="P117">
        <v>96.3</v>
      </c>
      <c r="R117">
        <f t="shared" si="2"/>
        <v>0</v>
      </c>
      <c r="S117" s="3">
        <f t="shared" si="3"/>
        <v>0</v>
      </c>
    </row>
    <row r="118" spans="1:19" x14ac:dyDescent="0.3">
      <c r="A118" s="5">
        <v>43948</v>
      </c>
      <c r="B118" t="s">
        <v>61</v>
      </c>
      <c r="P118">
        <v>96.3</v>
      </c>
      <c r="R118">
        <f t="shared" si="2"/>
        <v>0</v>
      </c>
      <c r="S118" s="3">
        <f t="shared" si="3"/>
        <v>0</v>
      </c>
    </row>
    <row r="119" spans="1:19" x14ac:dyDescent="0.3">
      <c r="A119" s="5">
        <v>43949</v>
      </c>
      <c r="B119" t="s">
        <v>61</v>
      </c>
      <c r="P119">
        <v>96.3</v>
      </c>
      <c r="R119">
        <f t="shared" si="2"/>
        <v>0</v>
      </c>
      <c r="S119" s="3">
        <f t="shared" si="3"/>
        <v>0</v>
      </c>
    </row>
    <row r="120" spans="1:19" x14ac:dyDescent="0.3">
      <c r="A120" s="5">
        <v>43950</v>
      </c>
      <c r="B120" t="s">
        <v>61</v>
      </c>
      <c r="P120">
        <v>96.3</v>
      </c>
      <c r="R120">
        <f t="shared" si="2"/>
        <v>0</v>
      </c>
      <c r="S120" s="3">
        <f t="shared" si="3"/>
        <v>0</v>
      </c>
    </row>
    <row r="121" spans="1:19" x14ac:dyDescent="0.3">
      <c r="A121" s="5">
        <v>43951</v>
      </c>
      <c r="B121" t="s">
        <v>61</v>
      </c>
      <c r="P121">
        <v>96.3</v>
      </c>
      <c r="R121">
        <f t="shared" si="2"/>
        <v>0</v>
      </c>
      <c r="S121" s="3">
        <f t="shared" si="3"/>
        <v>0</v>
      </c>
    </row>
    <row r="122" spans="1:19" x14ac:dyDescent="0.3">
      <c r="A122" s="5">
        <v>43952</v>
      </c>
      <c r="B122" t="s">
        <v>61</v>
      </c>
      <c r="P122">
        <v>96.3</v>
      </c>
      <c r="R122">
        <f t="shared" si="2"/>
        <v>0</v>
      </c>
      <c r="S122" s="3">
        <f t="shared" si="3"/>
        <v>0</v>
      </c>
    </row>
    <row r="123" spans="1:19" x14ac:dyDescent="0.3">
      <c r="A123" s="5">
        <v>43953</v>
      </c>
      <c r="B123" t="s">
        <v>61</v>
      </c>
      <c r="P123">
        <v>96.3</v>
      </c>
      <c r="R123">
        <f t="shared" si="2"/>
        <v>0</v>
      </c>
      <c r="S123" s="3">
        <f t="shared" si="3"/>
        <v>0</v>
      </c>
    </row>
    <row r="124" spans="1:19" x14ac:dyDescent="0.3">
      <c r="A124" s="5">
        <v>43954</v>
      </c>
      <c r="B124" t="s">
        <v>61</v>
      </c>
      <c r="P124">
        <v>96.3</v>
      </c>
      <c r="R124">
        <f t="shared" si="2"/>
        <v>0</v>
      </c>
      <c r="S124" s="3">
        <f t="shared" si="3"/>
        <v>0</v>
      </c>
    </row>
    <row r="125" spans="1:19" x14ac:dyDescent="0.3">
      <c r="A125" s="5">
        <v>43955</v>
      </c>
      <c r="B125" t="s">
        <v>61</v>
      </c>
      <c r="P125">
        <v>96.3</v>
      </c>
      <c r="R125">
        <f t="shared" si="2"/>
        <v>0</v>
      </c>
      <c r="S125" s="3">
        <f t="shared" si="3"/>
        <v>0</v>
      </c>
    </row>
    <row r="126" spans="1:19" x14ac:dyDescent="0.3">
      <c r="A126" s="5">
        <v>43956</v>
      </c>
      <c r="B126" t="s">
        <v>61</v>
      </c>
      <c r="P126">
        <v>96.3</v>
      </c>
      <c r="R126">
        <f t="shared" si="2"/>
        <v>0</v>
      </c>
      <c r="S126" s="3">
        <f t="shared" si="3"/>
        <v>0</v>
      </c>
    </row>
    <row r="127" spans="1:19" x14ac:dyDescent="0.3">
      <c r="A127" s="5">
        <v>43957</v>
      </c>
      <c r="B127" t="s">
        <v>61</v>
      </c>
      <c r="P127">
        <v>96.3</v>
      </c>
      <c r="R127">
        <f t="shared" si="2"/>
        <v>0</v>
      </c>
      <c r="S127" s="3">
        <f t="shared" si="3"/>
        <v>0</v>
      </c>
    </row>
    <row r="128" spans="1:19" x14ac:dyDescent="0.3">
      <c r="A128" s="5">
        <v>43958</v>
      </c>
      <c r="B128" t="s">
        <v>61</v>
      </c>
      <c r="P128">
        <v>92.59</v>
      </c>
      <c r="R128">
        <f t="shared" si="2"/>
        <v>0</v>
      </c>
      <c r="S128" s="3">
        <f t="shared" si="3"/>
        <v>0</v>
      </c>
    </row>
    <row r="129" spans="1:19" x14ac:dyDescent="0.3">
      <c r="A129" s="5">
        <v>43959</v>
      </c>
      <c r="B129" t="s">
        <v>61</v>
      </c>
      <c r="P129">
        <v>92.59</v>
      </c>
      <c r="R129">
        <f t="shared" si="2"/>
        <v>0</v>
      </c>
      <c r="S129" s="3">
        <f t="shared" si="3"/>
        <v>0</v>
      </c>
    </row>
    <row r="130" spans="1:19" x14ac:dyDescent="0.3">
      <c r="A130" s="5">
        <v>43960</v>
      </c>
      <c r="B130" t="s">
        <v>61</v>
      </c>
      <c r="P130">
        <v>92.59</v>
      </c>
      <c r="R130">
        <f t="shared" si="2"/>
        <v>0</v>
      </c>
      <c r="S130" s="3">
        <f t="shared" si="3"/>
        <v>0</v>
      </c>
    </row>
    <row r="131" spans="1:19" x14ac:dyDescent="0.3">
      <c r="A131" s="5">
        <v>43961</v>
      </c>
      <c r="B131" t="s">
        <v>61</v>
      </c>
      <c r="P131">
        <v>92.59</v>
      </c>
      <c r="R131">
        <f t="shared" si="2"/>
        <v>0</v>
      </c>
      <c r="S131" s="3">
        <f t="shared" si="3"/>
        <v>0</v>
      </c>
    </row>
    <row r="132" spans="1:19" x14ac:dyDescent="0.3">
      <c r="A132" s="5">
        <v>43962</v>
      </c>
      <c r="B132" t="s">
        <v>61</v>
      </c>
      <c r="P132">
        <v>92.59</v>
      </c>
      <c r="R132">
        <f t="shared" si="2"/>
        <v>0</v>
      </c>
      <c r="S132" s="3">
        <f t="shared" si="3"/>
        <v>0</v>
      </c>
    </row>
    <row r="133" spans="1:19" x14ac:dyDescent="0.3">
      <c r="A133" s="5">
        <v>43963</v>
      </c>
      <c r="B133" t="s">
        <v>61</v>
      </c>
      <c r="P133">
        <v>92.59</v>
      </c>
      <c r="R133">
        <f t="shared" si="2"/>
        <v>0</v>
      </c>
      <c r="S133" s="3">
        <f t="shared" si="3"/>
        <v>0</v>
      </c>
    </row>
    <row r="134" spans="1:19" x14ac:dyDescent="0.3">
      <c r="A134" s="5">
        <v>43964</v>
      </c>
      <c r="B134" t="s">
        <v>61</v>
      </c>
      <c r="P134">
        <v>92.59</v>
      </c>
      <c r="R134">
        <f t="shared" ref="R134:R197" si="4">J134-K134</f>
        <v>0</v>
      </c>
      <c r="S134" s="3">
        <f t="shared" ref="S134:S197" si="5">MIN(1, (0.5*MAX(R134,0) + 1*K134)/100 )</f>
        <v>0</v>
      </c>
    </row>
    <row r="135" spans="1:19" x14ac:dyDescent="0.3">
      <c r="A135" s="5">
        <v>43965</v>
      </c>
      <c r="B135" t="s">
        <v>61</v>
      </c>
      <c r="P135">
        <v>92.59</v>
      </c>
      <c r="R135">
        <f t="shared" si="4"/>
        <v>0</v>
      </c>
      <c r="S135" s="3">
        <f t="shared" si="5"/>
        <v>0</v>
      </c>
    </row>
    <row r="136" spans="1:19" x14ac:dyDescent="0.3">
      <c r="A136" s="5">
        <v>43966</v>
      </c>
      <c r="B136" t="s">
        <v>61</v>
      </c>
      <c r="P136">
        <v>92.59</v>
      </c>
      <c r="R136">
        <f t="shared" si="4"/>
        <v>0</v>
      </c>
      <c r="S136" s="3">
        <f t="shared" si="5"/>
        <v>0</v>
      </c>
    </row>
    <row r="137" spans="1:19" x14ac:dyDescent="0.3">
      <c r="A137" s="5">
        <v>43967</v>
      </c>
      <c r="B137" t="s">
        <v>61</v>
      </c>
      <c r="P137">
        <v>92.59</v>
      </c>
      <c r="R137">
        <f t="shared" si="4"/>
        <v>0</v>
      </c>
      <c r="S137" s="3">
        <f t="shared" si="5"/>
        <v>0</v>
      </c>
    </row>
    <row r="138" spans="1:19" x14ac:dyDescent="0.3">
      <c r="A138" s="5">
        <v>43968</v>
      </c>
      <c r="B138" t="s">
        <v>61</v>
      </c>
      <c r="P138">
        <v>92.59</v>
      </c>
      <c r="R138">
        <f t="shared" si="4"/>
        <v>0</v>
      </c>
      <c r="S138" s="3">
        <f t="shared" si="5"/>
        <v>0</v>
      </c>
    </row>
    <row r="139" spans="1:19" x14ac:dyDescent="0.3">
      <c r="A139" s="5">
        <v>43969</v>
      </c>
      <c r="B139" t="s">
        <v>61</v>
      </c>
      <c r="P139">
        <v>92.59</v>
      </c>
      <c r="R139">
        <f t="shared" si="4"/>
        <v>0</v>
      </c>
      <c r="S139" s="3">
        <f t="shared" si="5"/>
        <v>0</v>
      </c>
    </row>
    <row r="140" spans="1:19" x14ac:dyDescent="0.3">
      <c r="A140" s="5">
        <v>43970</v>
      </c>
      <c r="B140" t="s">
        <v>61</v>
      </c>
      <c r="P140">
        <v>92.59</v>
      </c>
      <c r="R140">
        <f t="shared" si="4"/>
        <v>0</v>
      </c>
      <c r="S140" s="3">
        <f t="shared" si="5"/>
        <v>0</v>
      </c>
    </row>
    <row r="141" spans="1:19" x14ac:dyDescent="0.3">
      <c r="A141" s="5">
        <v>43971</v>
      </c>
      <c r="B141" t="s">
        <v>61</v>
      </c>
      <c r="P141">
        <v>92.59</v>
      </c>
      <c r="R141">
        <f t="shared" si="4"/>
        <v>0</v>
      </c>
      <c r="S141" s="3">
        <f t="shared" si="5"/>
        <v>0</v>
      </c>
    </row>
    <row r="142" spans="1:19" x14ac:dyDescent="0.3">
      <c r="A142" s="5">
        <v>43972</v>
      </c>
      <c r="B142" t="s">
        <v>61</v>
      </c>
      <c r="P142">
        <v>92.59</v>
      </c>
      <c r="R142">
        <f t="shared" si="4"/>
        <v>0</v>
      </c>
      <c r="S142" s="3">
        <f t="shared" si="5"/>
        <v>0</v>
      </c>
    </row>
    <row r="143" spans="1:19" x14ac:dyDescent="0.3">
      <c r="A143" s="5">
        <v>43973</v>
      </c>
      <c r="B143" t="s">
        <v>61</v>
      </c>
      <c r="P143">
        <v>92.59</v>
      </c>
      <c r="R143">
        <f t="shared" si="4"/>
        <v>0</v>
      </c>
      <c r="S143" s="3">
        <f t="shared" si="5"/>
        <v>0</v>
      </c>
    </row>
    <row r="144" spans="1:19" x14ac:dyDescent="0.3">
      <c r="A144" s="5">
        <v>43974</v>
      </c>
      <c r="B144" t="s">
        <v>61</v>
      </c>
      <c r="P144">
        <v>92.59</v>
      </c>
      <c r="R144">
        <f t="shared" si="4"/>
        <v>0</v>
      </c>
      <c r="S144" s="3">
        <f t="shared" si="5"/>
        <v>0</v>
      </c>
    </row>
    <row r="145" spans="1:19" x14ac:dyDescent="0.3">
      <c r="A145" s="5">
        <v>43975</v>
      </c>
      <c r="B145" t="s">
        <v>61</v>
      </c>
      <c r="P145">
        <v>92.59</v>
      </c>
      <c r="R145">
        <f t="shared" si="4"/>
        <v>0</v>
      </c>
      <c r="S145" s="3">
        <f t="shared" si="5"/>
        <v>0</v>
      </c>
    </row>
    <row r="146" spans="1:19" x14ac:dyDescent="0.3">
      <c r="A146" s="5">
        <v>43976</v>
      </c>
      <c r="B146" t="s">
        <v>61</v>
      </c>
      <c r="P146">
        <v>92.59</v>
      </c>
      <c r="R146">
        <f t="shared" si="4"/>
        <v>0</v>
      </c>
      <c r="S146" s="3">
        <f t="shared" si="5"/>
        <v>0</v>
      </c>
    </row>
    <row r="147" spans="1:19" x14ac:dyDescent="0.3">
      <c r="A147" s="5">
        <v>43977</v>
      </c>
      <c r="B147" t="s">
        <v>61</v>
      </c>
      <c r="P147">
        <v>92.59</v>
      </c>
      <c r="R147">
        <f t="shared" si="4"/>
        <v>0</v>
      </c>
      <c r="S147" s="3">
        <f t="shared" si="5"/>
        <v>0</v>
      </c>
    </row>
    <row r="148" spans="1:19" x14ac:dyDescent="0.3">
      <c r="A148" s="5">
        <v>43978</v>
      </c>
      <c r="B148" t="s">
        <v>61</v>
      </c>
      <c r="P148">
        <v>92.59</v>
      </c>
      <c r="R148">
        <f t="shared" si="4"/>
        <v>0</v>
      </c>
      <c r="S148" s="3">
        <f t="shared" si="5"/>
        <v>0</v>
      </c>
    </row>
    <row r="149" spans="1:19" x14ac:dyDescent="0.3">
      <c r="A149" s="5">
        <v>43979</v>
      </c>
      <c r="B149" t="s">
        <v>61</v>
      </c>
      <c r="P149">
        <v>92.59</v>
      </c>
      <c r="R149">
        <f t="shared" si="4"/>
        <v>0</v>
      </c>
      <c r="S149" s="3">
        <f t="shared" si="5"/>
        <v>0</v>
      </c>
    </row>
    <row r="150" spans="1:19" x14ac:dyDescent="0.3">
      <c r="A150" s="5">
        <v>43980</v>
      </c>
      <c r="B150" t="s">
        <v>61</v>
      </c>
      <c r="P150">
        <v>92.59</v>
      </c>
      <c r="R150">
        <f t="shared" si="4"/>
        <v>0</v>
      </c>
      <c r="S150" s="3">
        <f t="shared" si="5"/>
        <v>0</v>
      </c>
    </row>
    <row r="151" spans="1:19" x14ac:dyDescent="0.3">
      <c r="A151" s="5">
        <v>43981</v>
      </c>
      <c r="B151" t="s">
        <v>61</v>
      </c>
      <c r="P151">
        <v>92.59</v>
      </c>
      <c r="R151">
        <f t="shared" si="4"/>
        <v>0</v>
      </c>
      <c r="S151" s="3">
        <f t="shared" si="5"/>
        <v>0</v>
      </c>
    </row>
    <row r="152" spans="1:19" x14ac:dyDescent="0.3">
      <c r="A152" s="5">
        <v>43982</v>
      </c>
      <c r="B152" t="s">
        <v>61</v>
      </c>
      <c r="P152">
        <v>92.59</v>
      </c>
      <c r="R152">
        <f t="shared" si="4"/>
        <v>0</v>
      </c>
      <c r="S152" s="3">
        <f t="shared" si="5"/>
        <v>0</v>
      </c>
    </row>
    <row r="153" spans="1:19" x14ac:dyDescent="0.3">
      <c r="A153" s="5">
        <v>43983</v>
      </c>
      <c r="B153" t="s">
        <v>61</v>
      </c>
      <c r="P153">
        <v>92.59</v>
      </c>
      <c r="R153">
        <f t="shared" si="4"/>
        <v>0</v>
      </c>
      <c r="S153" s="3">
        <f t="shared" si="5"/>
        <v>0</v>
      </c>
    </row>
    <row r="154" spans="1:19" x14ac:dyDescent="0.3">
      <c r="A154" s="5">
        <v>43984</v>
      </c>
      <c r="B154" t="s">
        <v>61</v>
      </c>
      <c r="P154">
        <v>92.59</v>
      </c>
      <c r="R154">
        <f t="shared" si="4"/>
        <v>0</v>
      </c>
      <c r="S154" s="3">
        <f t="shared" si="5"/>
        <v>0</v>
      </c>
    </row>
    <row r="155" spans="1:19" x14ac:dyDescent="0.3">
      <c r="A155" s="5">
        <v>43985</v>
      </c>
      <c r="B155" t="s">
        <v>61</v>
      </c>
      <c r="P155">
        <v>92.59</v>
      </c>
      <c r="R155">
        <f t="shared" si="4"/>
        <v>0</v>
      </c>
      <c r="S155" s="3">
        <f t="shared" si="5"/>
        <v>0</v>
      </c>
    </row>
    <row r="156" spans="1:19" x14ac:dyDescent="0.3">
      <c r="A156" s="5">
        <v>43986</v>
      </c>
      <c r="B156" t="s">
        <v>61</v>
      </c>
      <c r="P156">
        <v>92.59</v>
      </c>
      <c r="R156">
        <f t="shared" si="4"/>
        <v>0</v>
      </c>
      <c r="S156" s="3">
        <f t="shared" si="5"/>
        <v>0</v>
      </c>
    </row>
    <row r="157" spans="1:19" x14ac:dyDescent="0.3">
      <c r="A157" s="5">
        <v>43987</v>
      </c>
      <c r="B157" t="s">
        <v>61</v>
      </c>
      <c r="P157">
        <v>92.59</v>
      </c>
      <c r="R157">
        <f t="shared" si="4"/>
        <v>0</v>
      </c>
      <c r="S157" s="3">
        <f t="shared" si="5"/>
        <v>0</v>
      </c>
    </row>
    <row r="158" spans="1:19" x14ac:dyDescent="0.3">
      <c r="A158" s="5">
        <v>43988</v>
      </c>
      <c r="B158" t="s">
        <v>61</v>
      </c>
      <c r="P158">
        <v>92.59</v>
      </c>
      <c r="R158">
        <f t="shared" si="4"/>
        <v>0</v>
      </c>
      <c r="S158" s="3">
        <f t="shared" si="5"/>
        <v>0</v>
      </c>
    </row>
    <row r="159" spans="1:19" x14ac:dyDescent="0.3">
      <c r="A159" s="5">
        <v>43989</v>
      </c>
      <c r="B159" t="s">
        <v>61</v>
      </c>
      <c r="P159">
        <v>92.59</v>
      </c>
      <c r="R159">
        <f t="shared" si="4"/>
        <v>0</v>
      </c>
      <c r="S159" s="3">
        <f t="shared" si="5"/>
        <v>0</v>
      </c>
    </row>
    <row r="160" spans="1:19" x14ac:dyDescent="0.3">
      <c r="A160" s="5">
        <v>43990</v>
      </c>
      <c r="B160" t="s">
        <v>61</v>
      </c>
      <c r="P160">
        <v>92.59</v>
      </c>
      <c r="R160">
        <f t="shared" si="4"/>
        <v>0</v>
      </c>
      <c r="S160" s="3">
        <f t="shared" si="5"/>
        <v>0</v>
      </c>
    </row>
    <row r="161" spans="1:19" x14ac:dyDescent="0.3">
      <c r="A161" s="5">
        <v>43991</v>
      </c>
      <c r="B161" t="s">
        <v>61</v>
      </c>
      <c r="P161">
        <v>92.59</v>
      </c>
      <c r="R161">
        <f t="shared" si="4"/>
        <v>0</v>
      </c>
      <c r="S161" s="3">
        <f t="shared" si="5"/>
        <v>0</v>
      </c>
    </row>
    <row r="162" spans="1:19" x14ac:dyDescent="0.3">
      <c r="A162" s="5">
        <v>43992</v>
      </c>
      <c r="B162" t="s">
        <v>61</v>
      </c>
      <c r="P162">
        <v>92.59</v>
      </c>
      <c r="R162">
        <f t="shared" si="4"/>
        <v>0</v>
      </c>
      <c r="S162" s="3">
        <f t="shared" si="5"/>
        <v>0</v>
      </c>
    </row>
    <row r="163" spans="1:19" x14ac:dyDescent="0.3">
      <c r="A163" s="5">
        <v>43993</v>
      </c>
      <c r="B163" t="s">
        <v>61</v>
      </c>
      <c r="P163">
        <v>92.59</v>
      </c>
      <c r="R163">
        <f t="shared" si="4"/>
        <v>0</v>
      </c>
      <c r="S163" s="3">
        <f t="shared" si="5"/>
        <v>0</v>
      </c>
    </row>
    <row r="164" spans="1:19" x14ac:dyDescent="0.3">
      <c r="A164" s="5">
        <v>43994</v>
      </c>
      <c r="B164" t="s">
        <v>61</v>
      </c>
      <c r="P164">
        <v>92.59</v>
      </c>
      <c r="R164">
        <f t="shared" si="4"/>
        <v>0</v>
      </c>
      <c r="S164" s="3">
        <f t="shared" si="5"/>
        <v>0</v>
      </c>
    </row>
    <row r="165" spans="1:19" x14ac:dyDescent="0.3">
      <c r="A165" s="5">
        <v>43995</v>
      </c>
      <c r="B165" t="s">
        <v>61</v>
      </c>
      <c r="P165">
        <v>92.59</v>
      </c>
      <c r="R165">
        <f t="shared" si="4"/>
        <v>0</v>
      </c>
      <c r="S165" s="3">
        <f t="shared" si="5"/>
        <v>0</v>
      </c>
    </row>
    <row r="166" spans="1:19" x14ac:dyDescent="0.3">
      <c r="A166" s="5">
        <v>43996</v>
      </c>
      <c r="B166" t="s">
        <v>61</v>
      </c>
      <c r="P166">
        <v>92.59</v>
      </c>
      <c r="R166">
        <f t="shared" si="4"/>
        <v>0</v>
      </c>
      <c r="S166" s="3">
        <f t="shared" si="5"/>
        <v>0</v>
      </c>
    </row>
    <row r="167" spans="1:19" x14ac:dyDescent="0.3">
      <c r="A167" s="5">
        <v>43997</v>
      </c>
      <c r="B167" t="s">
        <v>61</v>
      </c>
      <c r="P167">
        <v>92.59</v>
      </c>
      <c r="R167">
        <f t="shared" si="4"/>
        <v>0</v>
      </c>
      <c r="S167" s="3">
        <f t="shared" si="5"/>
        <v>0</v>
      </c>
    </row>
    <row r="168" spans="1:19" x14ac:dyDescent="0.3">
      <c r="A168" s="5">
        <v>43998</v>
      </c>
      <c r="B168" t="s">
        <v>61</v>
      </c>
      <c r="P168">
        <v>92.59</v>
      </c>
      <c r="R168">
        <f t="shared" si="4"/>
        <v>0</v>
      </c>
      <c r="S168" s="3">
        <f t="shared" si="5"/>
        <v>0</v>
      </c>
    </row>
    <row r="169" spans="1:19" x14ac:dyDescent="0.3">
      <c r="A169" s="5">
        <v>43999</v>
      </c>
      <c r="B169" t="s">
        <v>61</v>
      </c>
      <c r="P169">
        <v>92.59</v>
      </c>
      <c r="R169">
        <f t="shared" si="4"/>
        <v>0</v>
      </c>
      <c r="S169" s="3">
        <f t="shared" si="5"/>
        <v>0</v>
      </c>
    </row>
    <row r="170" spans="1:19" x14ac:dyDescent="0.3">
      <c r="A170" s="5">
        <v>44000</v>
      </c>
      <c r="B170" t="s">
        <v>61</v>
      </c>
      <c r="P170">
        <v>92.59</v>
      </c>
      <c r="R170">
        <f t="shared" si="4"/>
        <v>0</v>
      </c>
      <c r="S170" s="3">
        <f t="shared" si="5"/>
        <v>0</v>
      </c>
    </row>
    <row r="171" spans="1:19" x14ac:dyDescent="0.3">
      <c r="A171" s="5">
        <v>44001</v>
      </c>
      <c r="B171" t="s">
        <v>61</v>
      </c>
      <c r="P171">
        <v>92.59</v>
      </c>
      <c r="R171">
        <f t="shared" si="4"/>
        <v>0</v>
      </c>
      <c r="S171" s="3">
        <f t="shared" si="5"/>
        <v>0</v>
      </c>
    </row>
    <row r="172" spans="1:19" x14ac:dyDescent="0.3">
      <c r="A172" s="5">
        <v>44002</v>
      </c>
      <c r="B172" t="s">
        <v>61</v>
      </c>
      <c r="P172">
        <v>92.59</v>
      </c>
      <c r="R172">
        <f t="shared" si="4"/>
        <v>0</v>
      </c>
      <c r="S172" s="3">
        <f t="shared" si="5"/>
        <v>0</v>
      </c>
    </row>
    <row r="173" spans="1:19" x14ac:dyDescent="0.3">
      <c r="A173" s="5">
        <v>44003</v>
      </c>
      <c r="B173" t="s">
        <v>61</v>
      </c>
      <c r="P173">
        <v>92.59</v>
      </c>
      <c r="R173">
        <f t="shared" si="4"/>
        <v>0</v>
      </c>
      <c r="S173" s="3">
        <f t="shared" si="5"/>
        <v>0</v>
      </c>
    </row>
    <row r="174" spans="1:19" x14ac:dyDescent="0.3">
      <c r="A174" s="5">
        <v>44004</v>
      </c>
      <c r="B174" t="s">
        <v>61</v>
      </c>
      <c r="P174">
        <v>92.59</v>
      </c>
      <c r="R174">
        <f t="shared" si="4"/>
        <v>0</v>
      </c>
      <c r="S174" s="3">
        <f t="shared" si="5"/>
        <v>0</v>
      </c>
    </row>
    <row r="175" spans="1:19" x14ac:dyDescent="0.3">
      <c r="A175" s="5">
        <v>44005</v>
      </c>
      <c r="B175" t="s">
        <v>61</v>
      </c>
      <c r="P175">
        <v>92.59</v>
      </c>
      <c r="R175">
        <f t="shared" si="4"/>
        <v>0</v>
      </c>
      <c r="S175" s="3">
        <f t="shared" si="5"/>
        <v>0</v>
      </c>
    </row>
    <row r="176" spans="1:19" x14ac:dyDescent="0.3">
      <c r="A176" s="5">
        <v>44006</v>
      </c>
      <c r="B176" t="s">
        <v>61</v>
      </c>
      <c r="P176">
        <v>92.59</v>
      </c>
      <c r="R176">
        <f t="shared" si="4"/>
        <v>0</v>
      </c>
      <c r="S176" s="3">
        <f t="shared" si="5"/>
        <v>0</v>
      </c>
    </row>
    <row r="177" spans="1:19" x14ac:dyDescent="0.3">
      <c r="A177" s="5">
        <v>44007</v>
      </c>
      <c r="B177" t="s">
        <v>61</v>
      </c>
      <c r="P177">
        <v>92.59</v>
      </c>
      <c r="R177">
        <f t="shared" si="4"/>
        <v>0</v>
      </c>
      <c r="S177" s="3">
        <f t="shared" si="5"/>
        <v>0</v>
      </c>
    </row>
    <row r="178" spans="1:19" x14ac:dyDescent="0.3">
      <c r="A178" s="5">
        <v>44008</v>
      </c>
      <c r="B178" t="s">
        <v>61</v>
      </c>
      <c r="P178">
        <v>92.59</v>
      </c>
      <c r="R178">
        <f t="shared" si="4"/>
        <v>0</v>
      </c>
      <c r="S178" s="3">
        <f t="shared" si="5"/>
        <v>0</v>
      </c>
    </row>
    <row r="179" spans="1:19" x14ac:dyDescent="0.3">
      <c r="A179" s="5">
        <v>44009</v>
      </c>
      <c r="B179" t="s">
        <v>61</v>
      </c>
      <c r="P179">
        <v>92.59</v>
      </c>
      <c r="R179">
        <f t="shared" si="4"/>
        <v>0</v>
      </c>
      <c r="S179" s="3">
        <f t="shared" si="5"/>
        <v>0</v>
      </c>
    </row>
    <row r="180" spans="1:19" x14ac:dyDescent="0.3">
      <c r="A180" s="5">
        <v>44010</v>
      </c>
      <c r="B180" t="s">
        <v>61</v>
      </c>
      <c r="P180">
        <v>92.59</v>
      </c>
      <c r="R180">
        <f t="shared" si="4"/>
        <v>0</v>
      </c>
      <c r="S180" s="3">
        <f t="shared" si="5"/>
        <v>0</v>
      </c>
    </row>
    <row r="181" spans="1:19" x14ac:dyDescent="0.3">
      <c r="A181" s="5">
        <v>44011</v>
      </c>
      <c r="B181" t="s">
        <v>61</v>
      </c>
      <c r="P181">
        <v>92.59</v>
      </c>
      <c r="R181">
        <f t="shared" si="4"/>
        <v>0</v>
      </c>
      <c r="S181" s="3">
        <f t="shared" si="5"/>
        <v>0</v>
      </c>
    </row>
    <row r="182" spans="1:19" x14ac:dyDescent="0.3">
      <c r="A182" s="5">
        <v>44012</v>
      </c>
      <c r="B182" t="s">
        <v>61</v>
      </c>
      <c r="P182">
        <v>92.59</v>
      </c>
      <c r="R182">
        <f t="shared" si="4"/>
        <v>0</v>
      </c>
      <c r="S182" s="3">
        <f t="shared" si="5"/>
        <v>0</v>
      </c>
    </row>
    <row r="183" spans="1:19" x14ac:dyDescent="0.3">
      <c r="A183" s="5">
        <v>44013</v>
      </c>
      <c r="B183" t="s">
        <v>61</v>
      </c>
      <c r="P183">
        <v>92.59</v>
      </c>
      <c r="R183">
        <f t="shared" si="4"/>
        <v>0</v>
      </c>
      <c r="S183" s="3">
        <f t="shared" si="5"/>
        <v>0</v>
      </c>
    </row>
    <row r="184" spans="1:19" x14ac:dyDescent="0.3">
      <c r="A184" s="5">
        <v>44014</v>
      </c>
      <c r="B184" t="s">
        <v>61</v>
      </c>
      <c r="P184">
        <v>92.59</v>
      </c>
      <c r="R184">
        <f t="shared" si="4"/>
        <v>0</v>
      </c>
      <c r="S184" s="3">
        <f t="shared" si="5"/>
        <v>0</v>
      </c>
    </row>
    <row r="185" spans="1:19" x14ac:dyDescent="0.3">
      <c r="A185" s="5">
        <v>44015</v>
      </c>
      <c r="B185" t="s">
        <v>61</v>
      </c>
      <c r="P185">
        <v>92.59</v>
      </c>
      <c r="R185">
        <f t="shared" si="4"/>
        <v>0</v>
      </c>
      <c r="S185" s="3">
        <f t="shared" si="5"/>
        <v>0</v>
      </c>
    </row>
    <row r="186" spans="1:19" x14ac:dyDescent="0.3">
      <c r="A186" s="5">
        <v>44016</v>
      </c>
      <c r="B186" t="s">
        <v>61</v>
      </c>
      <c r="P186">
        <v>92.59</v>
      </c>
      <c r="R186">
        <f t="shared" si="4"/>
        <v>0</v>
      </c>
      <c r="S186" s="3">
        <f t="shared" si="5"/>
        <v>0</v>
      </c>
    </row>
    <row r="187" spans="1:19" x14ac:dyDescent="0.3">
      <c r="A187" s="5">
        <v>44017</v>
      </c>
      <c r="B187" t="s">
        <v>61</v>
      </c>
      <c r="P187">
        <v>92.59</v>
      </c>
      <c r="R187">
        <f t="shared" si="4"/>
        <v>0</v>
      </c>
      <c r="S187" s="3">
        <f t="shared" si="5"/>
        <v>0</v>
      </c>
    </row>
    <row r="188" spans="1:19" x14ac:dyDescent="0.3">
      <c r="A188" s="5">
        <v>44018</v>
      </c>
      <c r="B188" t="s">
        <v>61</v>
      </c>
      <c r="P188">
        <v>92.59</v>
      </c>
      <c r="R188">
        <f t="shared" si="4"/>
        <v>0</v>
      </c>
      <c r="S188" s="3">
        <f t="shared" si="5"/>
        <v>0</v>
      </c>
    </row>
    <row r="189" spans="1:19" x14ac:dyDescent="0.3">
      <c r="A189" s="5">
        <v>44019</v>
      </c>
      <c r="B189" t="s">
        <v>61</v>
      </c>
      <c r="P189">
        <v>92.59</v>
      </c>
      <c r="R189">
        <f t="shared" si="4"/>
        <v>0</v>
      </c>
      <c r="S189" s="3">
        <f t="shared" si="5"/>
        <v>0</v>
      </c>
    </row>
    <row r="190" spans="1:19" x14ac:dyDescent="0.3">
      <c r="A190" s="5">
        <v>44020</v>
      </c>
      <c r="B190" t="s">
        <v>61</v>
      </c>
      <c r="P190">
        <v>92.59</v>
      </c>
      <c r="R190">
        <f t="shared" si="4"/>
        <v>0</v>
      </c>
      <c r="S190" s="3">
        <f t="shared" si="5"/>
        <v>0</v>
      </c>
    </row>
    <row r="191" spans="1:19" x14ac:dyDescent="0.3">
      <c r="A191" s="5">
        <v>44021</v>
      </c>
      <c r="B191" t="s">
        <v>61</v>
      </c>
      <c r="P191">
        <v>92.59</v>
      </c>
      <c r="R191">
        <f t="shared" si="4"/>
        <v>0</v>
      </c>
      <c r="S191" s="3">
        <f t="shared" si="5"/>
        <v>0</v>
      </c>
    </row>
    <row r="192" spans="1:19" x14ac:dyDescent="0.3">
      <c r="A192" s="5">
        <v>44022</v>
      </c>
      <c r="B192" t="s">
        <v>61</v>
      </c>
      <c r="P192">
        <v>92.59</v>
      </c>
      <c r="R192">
        <f t="shared" si="4"/>
        <v>0</v>
      </c>
      <c r="S192" s="3">
        <f t="shared" si="5"/>
        <v>0</v>
      </c>
    </row>
    <row r="193" spans="1:19" x14ac:dyDescent="0.3">
      <c r="A193" s="5">
        <v>44023</v>
      </c>
      <c r="B193" t="s">
        <v>61</v>
      </c>
      <c r="P193">
        <v>92.59</v>
      </c>
      <c r="R193">
        <f t="shared" si="4"/>
        <v>0</v>
      </c>
      <c r="S193" s="3">
        <f t="shared" si="5"/>
        <v>0</v>
      </c>
    </row>
    <row r="194" spans="1:19" x14ac:dyDescent="0.3">
      <c r="A194" s="5">
        <v>44024</v>
      </c>
      <c r="B194" t="s">
        <v>61</v>
      </c>
      <c r="P194">
        <v>92.59</v>
      </c>
      <c r="R194">
        <f t="shared" si="4"/>
        <v>0</v>
      </c>
      <c r="S194" s="3">
        <f t="shared" si="5"/>
        <v>0</v>
      </c>
    </row>
    <row r="195" spans="1:19" x14ac:dyDescent="0.3">
      <c r="A195" s="5">
        <v>44025</v>
      </c>
      <c r="B195" t="s">
        <v>61</v>
      </c>
      <c r="P195">
        <v>92.59</v>
      </c>
      <c r="R195">
        <f t="shared" si="4"/>
        <v>0</v>
      </c>
      <c r="S195" s="3">
        <f t="shared" si="5"/>
        <v>0</v>
      </c>
    </row>
    <row r="196" spans="1:19" x14ac:dyDescent="0.3">
      <c r="A196" s="5">
        <v>44026</v>
      </c>
      <c r="B196" t="s">
        <v>61</v>
      </c>
      <c r="P196">
        <v>92.59</v>
      </c>
      <c r="R196">
        <f t="shared" si="4"/>
        <v>0</v>
      </c>
      <c r="S196" s="3">
        <f t="shared" si="5"/>
        <v>0</v>
      </c>
    </row>
    <row r="197" spans="1:19" x14ac:dyDescent="0.3">
      <c r="A197" s="5">
        <v>44027</v>
      </c>
      <c r="B197" t="s">
        <v>61</v>
      </c>
      <c r="P197">
        <v>92.59</v>
      </c>
      <c r="R197">
        <f t="shared" si="4"/>
        <v>0</v>
      </c>
      <c r="S197" s="3">
        <f t="shared" si="5"/>
        <v>0</v>
      </c>
    </row>
    <row r="198" spans="1:19" x14ac:dyDescent="0.3">
      <c r="A198" s="5">
        <v>44028</v>
      </c>
      <c r="B198" t="s">
        <v>61</v>
      </c>
      <c r="P198">
        <v>92.59</v>
      </c>
      <c r="R198">
        <f t="shared" ref="R198:R261" si="6">J198-K198</f>
        <v>0</v>
      </c>
      <c r="S198" s="3">
        <f t="shared" ref="S198:S261" si="7">MIN(1, (0.5*MAX(R198,0) + 1*K198)/100 )</f>
        <v>0</v>
      </c>
    </row>
    <row r="199" spans="1:19" x14ac:dyDescent="0.3">
      <c r="A199" s="5">
        <v>44029</v>
      </c>
      <c r="B199" t="s">
        <v>61</v>
      </c>
      <c r="P199">
        <v>92.59</v>
      </c>
      <c r="R199">
        <f t="shared" si="6"/>
        <v>0</v>
      </c>
      <c r="S199" s="3">
        <f t="shared" si="7"/>
        <v>0</v>
      </c>
    </row>
    <row r="200" spans="1:19" x14ac:dyDescent="0.3">
      <c r="A200" s="5">
        <v>44030</v>
      </c>
      <c r="B200" t="s">
        <v>61</v>
      </c>
      <c r="P200">
        <v>92.59</v>
      </c>
      <c r="R200">
        <f t="shared" si="6"/>
        <v>0</v>
      </c>
      <c r="S200" s="3">
        <f t="shared" si="7"/>
        <v>0</v>
      </c>
    </row>
    <row r="201" spans="1:19" x14ac:dyDescent="0.3">
      <c r="A201" s="5">
        <v>44031</v>
      </c>
      <c r="B201" t="s">
        <v>61</v>
      </c>
      <c r="P201">
        <v>92.59</v>
      </c>
      <c r="R201">
        <f t="shared" si="6"/>
        <v>0</v>
      </c>
      <c r="S201" s="3">
        <f t="shared" si="7"/>
        <v>0</v>
      </c>
    </row>
    <row r="202" spans="1:19" x14ac:dyDescent="0.3">
      <c r="A202" s="5">
        <v>44032</v>
      </c>
      <c r="B202" t="s">
        <v>61</v>
      </c>
      <c r="P202">
        <v>92.59</v>
      </c>
      <c r="R202">
        <f t="shared" si="6"/>
        <v>0</v>
      </c>
      <c r="S202" s="3">
        <f t="shared" si="7"/>
        <v>0</v>
      </c>
    </row>
    <row r="203" spans="1:19" x14ac:dyDescent="0.3">
      <c r="A203" s="5">
        <v>44033</v>
      </c>
      <c r="B203" t="s">
        <v>61</v>
      </c>
      <c r="P203">
        <v>81.48</v>
      </c>
      <c r="R203">
        <f t="shared" si="6"/>
        <v>0</v>
      </c>
      <c r="S203" s="3">
        <f t="shared" si="7"/>
        <v>0</v>
      </c>
    </row>
    <row r="204" spans="1:19" x14ac:dyDescent="0.3">
      <c r="A204" s="5">
        <v>44034</v>
      </c>
      <c r="B204" t="s">
        <v>61</v>
      </c>
      <c r="P204">
        <v>74.069999999999993</v>
      </c>
      <c r="R204">
        <f t="shared" si="6"/>
        <v>0</v>
      </c>
      <c r="S204" s="3">
        <f t="shared" si="7"/>
        <v>0</v>
      </c>
    </row>
    <row r="205" spans="1:19" x14ac:dyDescent="0.3">
      <c r="A205" s="5">
        <v>44035</v>
      </c>
      <c r="B205" t="s">
        <v>61</v>
      </c>
      <c r="P205">
        <v>74.069999999999993</v>
      </c>
      <c r="R205">
        <f t="shared" si="6"/>
        <v>0</v>
      </c>
      <c r="S205" s="3">
        <f t="shared" si="7"/>
        <v>0</v>
      </c>
    </row>
    <row r="206" spans="1:19" x14ac:dyDescent="0.3">
      <c r="A206" s="5">
        <v>44036</v>
      </c>
      <c r="B206" t="s">
        <v>61</v>
      </c>
      <c r="P206">
        <v>78.7</v>
      </c>
      <c r="R206">
        <f t="shared" si="6"/>
        <v>0</v>
      </c>
      <c r="S206" s="3">
        <f t="shared" si="7"/>
        <v>0</v>
      </c>
    </row>
    <row r="207" spans="1:19" x14ac:dyDescent="0.3">
      <c r="A207" s="5">
        <v>44037</v>
      </c>
      <c r="B207" t="s">
        <v>61</v>
      </c>
      <c r="P207">
        <v>78.7</v>
      </c>
      <c r="R207">
        <f t="shared" si="6"/>
        <v>0</v>
      </c>
      <c r="S207" s="3">
        <f t="shared" si="7"/>
        <v>0</v>
      </c>
    </row>
    <row r="208" spans="1:19" x14ac:dyDescent="0.3">
      <c r="A208" s="5">
        <v>44038</v>
      </c>
      <c r="B208" t="s">
        <v>61</v>
      </c>
      <c r="P208">
        <v>78.7</v>
      </c>
      <c r="R208">
        <f t="shared" si="6"/>
        <v>0</v>
      </c>
      <c r="S208" s="3">
        <f t="shared" si="7"/>
        <v>0</v>
      </c>
    </row>
    <row r="209" spans="1:19" x14ac:dyDescent="0.3">
      <c r="A209" s="5">
        <v>44039</v>
      </c>
      <c r="B209" t="s">
        <v>61</v>
      </c>
      <c r="P209">
        <v>78.7</v>
      </c>
      <c r="R209">
        <f t="shared" si="6"/>
        <v>0</v>
      </c>
      <c r="S209" s="3">
        <f t="shared" si="7"/>
        <v>0</v>
      </c>
    </row>
    <row r="210" spans="1:19" x14ac:dyDescent="0.3">
      <c r="A210" s="5">
        <v>44040</v>
      </c>
      <c r="B210" t="s">
        <v>61</v>
      </c>
      <c r="P210">
        <v>78.7</v>
      </c>
      <c r="R210">
        <f t="shared" si="6"/>
        <v>0</v>
      </c>
      <c r="S210" s="3">
        <f t="shared" si="7"/>
        <v>0</v>
      </c>
    </row>
    <row r="211" spans="1:19" x14ac:dyDescent="0.3">
      <c r="A211" s="5">
        <v>44041</v>
      </c>
      <c r="B211" t="s">
        <v>61</v>
      </c>
      <c r="P211">
        <v>78.7</v>
      </c>
      <c r="R211">
        <f t="shared" si="6"/>
        <v>0</v>
      </c>
      <c r="S211" s="3">
        <f t="shared" si="7"/>
        <v>0</v>
      </c>
    </row>
    <row r="212" spans="1:19" x14ac:dyDescent="0.3">
      <c r="A212" s="5">
        <v>44042</v>
      </c>
      <c r="B212" t="s">
        <v>61</v>
      </c>
      <c r="P212">
        <v>78.7</v>
      </c>
      <c r="R212">
        <f t="shared" si="6"/>
        <v>0</v>
      </c>
      <c r="S212" s="3">
        <f t="shared" si="7"/>
        <v>0</v>
      </c>
    </row>
    <row r="213" spans="1:19" x14ac:dyDescent="0.3">
      <c r="A213" s="5">
        <v>44043</v>
      </c>
      <c r="B213" t="s">
        <v>61</v>
      </c>
      <c r="P213">
        <v>78.7</v>
      </c>
      <c r="R213">
        <f t="shared" si="6"/>
        <v>0</v>
      </c>
      <c r="S213" s="3">
        <f t="shared" si="7"/>
        <v>0</v>
      </c>
    </row>
    <row r="214" spans="1:19" x14ac:dyDescent="0.3">
      <c r="A214" s="5">
        <v>44044</v>
      </c>
      <c r="B214" t="s">
        <v>61</v>
      </c>
      <c r="P214">
        <v>78.7</v>
      </c>
      <c r="R214">
        <f t="shared" si="6"/>
        <v>0</v>
      </c>
      <c r="S214" s="3">
        <f t="shared" si="7"/>
        <v>0</v>
      </c>
    </row>
    <row r="215" spans="1:19" x14ac:dyDescent="0.3">
      <c r="A215" s="5">
        <v>44045</v>
      </c>
      <c r="B215" t="s">
        <v>61</v>
      </c>
      <c r="P215">
        <v>78.7</v>
      </c>
      <c r="R215">
        <f t="shared" si="6"/>
        <v>0</v>
      </c>
      <c r="S215" s="3">
        <f t="shared" si="7"/>
        <v>0</v>
      </c>
    </row>
    <row r="216" spans="1:19" x14ac:dyDescent="0.3">
      <c r="A216" s="5">
        <v>44046</v>
      </c>
      <c r="B216" t="s">
        <v>61</v>
      </c>
      <c r="P216">
        <v>78.7</v>
      </c>
      <c r="R216">
        <f t="shared" si="6"/>
        <v>0</v>
      </c>
      <c r="S216" s="3">
        <f t="shared" si="7"/>
        <v>0</v>
      </c>
    </row>
    <row r="217" spans="1:19" x14ac:dyDescent="0.3">
      <c r="A217" s="5">
        <v>44047</v>
      </c>
      <c r="B217" t="s">
        <v>61</v>
      </c>
      <c r="P217">
        <v>78.7</v>
      </c>
      <c r="R217">
        <f t="shared" si="6"/>
        <v>0</v>
      </c>
      <c r="S217" s="3">
        <f t="shared" si="7"/>
        <v>0</v>
      </c>
    </row>
    <row r="218" spans="1:19" x14ac:dyDescent="0.3">
      <c r="A218" s="5">
        <v>44048</v>
      </c>
      <c r="B218" t="s">
        <v>61</v>
      </c>
      <c r="P218">
        <v>78.7</v>
      </c>
      <c r="R218">
        <f t="shared" si="6"/>
        <v>0</v>
      </c>
      <c r="S218" s="3">
        <f t="shared" si="7"/>
        <v>0</v>
      </c>
    </row>
    <row r="219" spans="1:19" x14ac:dyDescent="0.3">
      <c r="A219" s="5">
        <v>44049</v>
      </c>
      <c r="B219" t="s">
        <v>61</v>
      </c>
      <c r="P219">
        <v>78.7</v>
      </c>
      <c r="R219">
        <f t="shared" si="6"/>
        <v>0</v>
      </c>
      <c r="S219" s="3">
        <f t="shared" si="7"/>
        <v>0</v>
      </c>
    </row>
    <row r="220" spans="1:19" x14ac:dyDescent="0.3">
      <c r="A220" s="5">
        <v>44050</v>
      </c>
      <c r="B220" t="s">
        <v>61</v>
      </c>
      <c r="P220">
        <v>84.26</v>
      </c>
      <c r="R220">
        <f t="shared" si="6"/>
        <v>0</v>
      </c>
      <c r="S220" s="3">
        <f t="shared" si="7"/>
        <v>0</v>
      </c>
    </row>
    <row r="221" spans="1:19" x14ac:dyDescent="0.3">
      <c r="A221" s="5">
        <v>44051</v>
      </c>
      <c r="B221" t="s">
        <v>61</v>
      </c>
      <c r="P221">
        <v>84.26</v>
      </c>
      <c r="R221">
        <f t="shared" si="6"/>
        <v>0</v>
      </c>
      <c r="S221" s="3">
        <f t="shared" si="7"/>
        <v>0</v>
      </c>
    </row>
    <row r="222" spans="1:19" x14ac:dyDescent="0.3">
      <c r="A222" s="5">
        <v>44052</v>
      </c>
      <c r="B222" t="s">
        <v>61</v>
      </c>
      <c r="P222">
        <v>84.26</v>
      </c>
      <c r="R222">
        <f t="shared" si="6"/>
        <v>0</v>
      </c>
      <c r="S222" s="3">
        <f t="shared" si="7"/>
        <v>0</v>
      </c>
    </row>
    <row r="223" spans="1:19" x14ac:dyDescent="0.3">
      <c r="A223" s="5">
        <v>44053</v>
      </c>
      <c r="B223" t="s">
        <v>61</v>
      </c>
      <c r="P223">
        <v>84.26</v>
      </c>
      <c r="R223">
        <f t="shared" si="6"/>
        <v>0</v>
      </c>
      <c r="S223" s="3">
        <f t="shared" si="7"/>
        <v>0</v>
      </c>
    </row>
    <row r="224" spans="1:19" x14ac:dyDescent="0.3">
      <c r="A224" s="5">
        <v>44054</v>
      </c>
      <c r="B224" t="s">
        <v>61</v>
      </c>
      <c r="P224">
        <v>90.74</v>
      </c>
      <c r="R224">
        <f t="shared" si="6"/>
        <v>0</v>
      </c>
      <c r="S224" s="3">
        <f t="shared" si="7"/>
        <v>0</v>
      </c>
    </row>
    <row r="225" spans="1:19" x14ac:dyDescent="0.3">
      <c r="A225" s="5">
        <v>44055</v>
      </c>
      <c r="B225" t="s">
        <v>61</v>
      </c>
      <c r="P225">
        <v>90.74</v>
      </c>
      <c r="R225">
        <f t="shared" si="6"/>
        <v>0</v>
      </c>
      <c r="S225" s="3">
        <f t="shared" si="7"/>
        <v>0</v>
      </c>
    </row>
    <row r="226" spans="1:19" x14ac:dyDescent="0.3">
      <c r="A226" s="5">
        <v>44056</v>
      </c>
      <c r="B226" t="s">
        <v>61</v>
      </c>
      <c r="P226">
        <v>90.74</v>
      </c>
      <c r="R226">
        <f t="shared" si="6"/>
        <v>0</v>
      </c>
      <c r="S226" s="3">
        <f t="shared" si="7"/>
        <v>0</v>
      </c>
    </row>
    <row r="227" spans="1:19" x14ac:dyDescent="0.3">
      <c r="A227" s="5">
        <v>44057</v>
      </c>
      <c r="B227" t="s">
        <v>61</v>
      </c>
      <c r="P227">
        <v>90.74</v>
      </c>
      <c r="R227">
        <f t="shared" si="6"/>
        <v>0</v>
      </c>
      <c r="S227" s="3">
        <f t="shared" si="7"/>
        <v>0</v>
      </c>
    </row>
    <row r="228" spans="1:19" x14ac:dyDescent="0.3">
      <c r="A228" s="5">
        <v>44058</v>
      </c>
      <c r="B228" t="s">
        <v>61</v>
      </c>
      <c r="P228">
        <v>90.74</v>
      </c>
      <c r="R228">
        <f t="shared" si="6"/>
        <v>0</v>
      </c>
      <c r="S228" s="3">
        <f t="shared" si="7"/>
        <v>0</v>
      </c>
    </row>
    <row r="229" spans="1:19" x14ac:dyDescent="0.3">
      <c r="A229" s="5">
        <v>44059</v>
      </c>
      <c r="B229" t="s">
        <v>61</v>
      </c>
      <c r="P229">
        <v>90.74</v>
      </c>
      <c r="R229">
        <f t="shared" si="6"/>
        <v>0</v>
      </c>
      <c r="S229" s="3">
        <f t="shared" si="7"/>
        <v>0</v>
      </c>
    </row>
    <row r="230" spans="1:19" x14ac:dyDescent="0.3">
      <c r="A230" s="5">
        <v>44060</v>
      </c>
      <c r="B230" t="s">
        <v>61</v>
      </c>
      <c r="P230">
        <v>90.74</v>
      </c>
      <c r="R230">
        <f t="shared" si="6"/>
        <v>0</v>
      </c>
      <c r="S230" s="3">
        <f t="shared" si="7"/>
        <v>0</v>
      </c>
    </row>
    <row r="231" spans="1:19" x14ac:dyDescent="0.3">
      <c r="A231" s="5">
        <v>44061</v>
      </c>
      <c r="B231" t="s">
        <v>61</v>
      </c>
      <c r="P231">
        <v>90.74</v>
      </c>
      <c r="R231">
        <f t="shared" si="6"/>
        <v>0</v>
      </c>
      <c r="S231" s="3">
        <f t="shared" si="7"/>
        <v>0</v>
      </c>
    </row>
    <row r="232" spans="1:19" x14ac:dyDescent="0.3">
      <c r="A232" s="5">
        <v>44062</v>
      </c>
      <c r="B232" t="s">
        <v>61</v>
      </c>
      <c r="P232">
        <v>85.19</v>
      </c>
      <c r="R232">
        <f t="shared" si="6"/>
        <v>0</v>
      </c>
      <c r="S232" s="3">
        <f t="shared" si="7"/>
        <v>0</v>
      </c>
    </row>
    <row r="233" spans="1:19" x14ac:dyDescent="0.3">
      <c r="A233" s="5">
        <v>44063</v>
      </c>
      <c r="B233" t="s">
        <v>61</v>
      </c>
      <c r="P233">
        <v>85.19</v>
      </c>
      <c r="R233">
        <f t="shared" si="6"/>
        <v>0</v>
      </c>
      <c r="S233" s="3">
        <f t="shared" si="7"/>
        <v>0</v>
      </c>
    </row>
    <row r="234" spans="1:19" x14ac:dyDescent="0.3">
      <c r="A234" s="5">
        <v>44064</v>
      </c>
      <c r="B234" t="s">
        <v>61</v>
      </c>
      <c r="P234">
        <v>82.41</v>
      </c>
      <c r="R234">
        <f t="shared" si="6"/>
        <v>0</v>
      </c>
      <c r="S234" s="3">
        <f t="shared" si="7"/>
        <v>0</v>
      </c>
    </row>
    <row r="235" spans="1:19" x14ac:dyDescent="0.3">
      <c r="A235" s="5">
        <v>44065</v>
      </c>
      <c r="B235" t="s">
        <v>61</v>
      </c>
      <c r="P235">
        <v>82.41</v>
      </c>
      <c r="R235">
        <f t="shared" si="6"/>
        <v>0</v>
      </c>
      <c r="S235" s="3">
        <f t="shared" si="7"/>
        <v>0</v>
      </c>
    </row>
    <row r="236" spans="1:19" x14ac:dyDescent="0.3">
      <c r="A236" s="5">
        <v>44066</v>
      </c>
      <c r="B236" t="s">
        <v>61</v>
      </c>
      <c r="P236">
        <v>82.41</v>
      </c>
      <c r="R236">
        <f t="shared" si="6"/>
        <v>0</v>
      </c>
      <c r="S236" s="3">
        <f t="shared" si="7"/>
        <v>0</v>
      </c>
    </row>
    <row r="237" spans="1:19" x14ac:dyDescent="0.3">
      <c r="A237" s="5">
        <v>44067</v>
      </c>
      <c r="B237" t="s">
        <v>61</v>
      </c>
      <c r="P237">
        <v>82.41</v>
      </c>
      <c r="R237">
        <f t="shared" si="6"/>
        <v>0</v>
      </c>
      <c r="S237" s="3">
        <f t="shared" si="7"/>
        <v>0</v>
      </c>
    </row>
    <row r="238" spans="1:19" x14ac:dyDescent="0.3">
      <c r="A238" s="5">
        <v>44068</v>
      </c>
      <c r="B238" t="s">
        <v>61</v>
      </c>
      <c r="P238">
        <v>82.41</v>
      </c>
      <c r="R238">
        <f t="shared" si="6"/>
        <v>0</v>
      </c>
      <c r="S238" s="3">
        <f t="shared" si="7"/>
        <v>0</v>
      </c>
    </row>
    <row r="239" spans="1:19" x14ac:dyDescent="0.3">
      <c r="A239" s="5">
        <v>44069</v>
      </c>
      <c r="B239" t="s">
        <v>61</v>
      </c>
      <c r="P239">
        <v>82.41</v>
      </c>
      <c r="R239">
        <f t="shared" si="6"/>
        <v>0</v>
      </c>
      <c r="S239" s="3">
        <f t="shared" si="7"/>
        <v>0</v>
      </c>
    </row>
    <row r="240" spans="1:19" x14ac:dyDescent="0.3">
      <c r="A240" s="5">
        <v>44070</v>
      </c>
      <c r="B240" t="s">
        <v>61</v>
      </c>
      <c r="P240">
        <v>82.41</v>
      </c>
      <c r="R240">
        <f t="shared" si="6"/>
        <v>0</v>
      </c>
      <c r="S240" s="3">
        <f t="shared" si="7"/>
        <v>0</v>
      </c>
    </row>
    <row r="241" spans="1:19" x14ac:dyDescent="0.3">
      <c r="A241" s="5">
        <v>44071</v>
      </c>
      <c r="B241" t="s">
        <v>61</v>
      </c>
      <c r="P241">
        <v>82.41</v>
      </c>
      <c r="R241">
        <f t="shared" si="6"/>
        <v>0</v>
      </c>
      <c r="S241" s="3">
        <f t="shared" si="7"/>
        <v>0</v>
      </c>
    </row>
    <row r="242" spans="1:19" x14ac:dyDescent="0.3">
      <c r="A242" s="5">
        <v>44072</v>
      </c>
      <c r="B242" t="s">
        <v>61</v>
      </c>
      <c r="P242">
        <v>82.41</v>
      </c>
      <c r="R242">
        <f t="shared" si="6"/>
        <v>0</v>
      </c>
      <c r="S242" s="3">
        <f t="shared" si="7"/>
        <v>0</v>
      </c>
    </row>
    <row r="243" spans="1:19" x14ac:dyDescent="0.3">
      <c r="A243" s="5">
        <v>44073</v>
      </c>
      <c r="B243" t="s">
        <v>61</v>
      </c>
      <c r="P243">
        <v>82.41</v>
      </c>
      <c r="R243">
        <f t="shared" si="6"/>
        <v>0</v>
      </c>
      <c r="S243" s="3">
        <f t="shared" si="7"/>
        <v>0</v>
      </c>
    </row>
    <row r="244" spans="1:19" x14ac:dyDescent="0.3">
      <c r="A244" s="5">
        <v>44074</v>
      </c>
      <c r="B244" t="s">
        <v>61</v>
      </c>
      <c r="P244">
        <v>82.41</v>
      </c>
      <c r="R244">
        <f t="shared" si="6"/>
        <v>0</v>
      </c>
      <c r="S244" s="3">
        <f t="shared" si="7"/>
        <v>0</v>
      </c>
    </row>
    <row r="245" spans="1:19" x14ac:dyDescent="0.3">
      <c r="A245" s="5">
        <v>44075</v>
      </c>
      <c r="B245" t="s">
        <v>61</v>
      </c>
      <c r="P245">
        <v>82.41</v>
      </c>
      <c r="R245">
        <f t="shared" si="6"/>
        <v>0</v>
      </c>
      <c r="S245" s="3">
        <f t="shared" si="7"/>
        <v>0</v>
      </c>
    </row>
    <row r="246" spans="1:19" x14ac:dyDescent="0.3">
      <c r="A246" s="5">
        <v>44076</v>
      </c>
      <c r="B246" t="s">
        <v>61</v>
      </c>
      <c r="P246">
        <v>76.849999999999994</v>
      </c>
      <c r="R246">
        <f t="shared" si="6"/>
        <v>0</v>
      </c>
      <c r="S246" s="3">
        <f t="shared" si="7"/>
        <v>0</v>
      </c>
    </row>
    <row r="247" spans="1:19" x14ac:dyDescent="0.3">
      <c r="A247" s="5">
        <v>44077</v>
      </c>
      <c r="B247" t="s">
        <v>61</v>
      </c>
      <c r="P247">
        <v>76.849999999999994</v>
      </c>
      <c r="R247">
        <f t="shared" si="6"/>
        <v>0</v>
      </c>
      <c r="S247" s="3">
        <f t="shared" si="7"/>
        <v>0</v>
      </c>
    </row>
    <row r="248" spans="1:19" x14ac:dyDescent="0.3">
      <c r="A248" s="5">
        <v>44078</v>
      </c>
      <c r="B248" t="s">
        <v>61</v>
      </c>
      <c r="P248">
        <v>76.849999999999994</v>
      </c>
      <c r="R248">
        <f t="shared" si="6"/>
        <v>0</v>
      </c>
      <c r="S248" s="3">
        <f t="shared" si="7"/>
        <v>0</v>
      </c>
    </row>
    <row r="249" spans="1:19" x14ac:dyDescent="0.3">
      <c r="A249" s="5">
        <v>44079</v>
      </c>
      <c r="B249" t="s">
        <v>61</v>
      </c>
      <c r="P249">
        <v>76.849999999999994</v>
      </c>
      <c r="R249">
        <f t="shared" si="6"/>
        <v>0</v>
      </c>
      <c r="S249" s="3">
        <f t="shared" si="7"/>
        <v>0</v>
      </c>
    </row>
    <row r="250" spans="1:19" x14ac:dyDescent="0.3">
      <c r="A250" s="5">
        <v>44080</v>
      </c>
      <c r="B250" t="s">
        <v>61</v>
      </c>
      <c r="P250">
        <v>74.069999999999993</v>
      </c>
      <c r="R250">
        <f t="shared" si="6"/>
        <v>0</v>
      </c>
      <c r="S250" s="3">
        <f t="shared" si="7"/>
        <v>0</v>
      </c>
    </row>
    <row r="251" spans="1:19" x14ac:dyDescent="0.3">
      <c r="A251" s="5">
        <v>44081</v>
      </c>
      <c r="B251" t="s">
        <v>61</v>
      </c>
      <c r="P251">
        <v>74.069999999999993</v>
      </c>
      <c r="R251">
        <f t="shared" si="6"/>
        <v>0</v>
      </c>
      <c r="S251" s="3">
        <f t="shared" si="7"/>
        <v>0</v>
      </c>
    </row>
    <row r="252" spans="1:19" x14ac:dyDescent="0.3">
      <c r="A252" s="5">
        <v>44082</v>
      </c>
      <c r="B252" t="s">
        <v>61</v>
      </c>
      <c r="P252">
        <v>74.069999999999993</v>
      </c>
      <c r="R252">
        <f t="shared" si="6"/>
        <v>0</v>
      </c>
      <c r="S252" s="3">
        <f t="shared" si="7"/>
        <v>0</v>
      </c>
    </row>
    <row r="253" spans="1:19" x14ac:dyDescent="0.3">
      <c r="A253" s="5">
        <v>44083</v>
      </c>
      <c r="B253" t="s">
        <v>61</v>
      </c>
      <c r="P253">
        <v>74.069999999999993</v>
      </c>
      <c r="R253">
        <f t="shared" si="6"/>
        <v>0</v>
      </c>
      <c r="S253" s="3">
        <f t="shared" si="7"/>
        <v>0</v>
      </c>
    </row>
    <row r="254" spans="1:19" x14ac:dyDescent="0.3">
      <c r="A254" s="5">
        <v>44084</v>
      </c>
      <c r="B254" t="s">
        <v>61</v>
      </c>
      <c r="P254">
        <v>74.069999999999993</v>
      </c>
      <c r="R254">
        <f t="shared" si="6"/>
        <v>0</v>
      </c>
      <c r="S254" s="3">
        <f t="shared" si="7"/>
        <v>0</v>
      </c>
    </row>
    <row r="255" spans="1:19" x14ac:dyDescent="0.3">
      <c r="A255" s="5">
        <v>44085</v>
      </c>
      <c r="B255" t="s">
        <v>61</v>
      </c>
      <c r="P255">
        <v>74.069999999999993</v>
      </c>
      <c r="R255">
        <f t="shared" si="6"/>
        <v>0</v>
      </c>
      <c r="S255" s="3">
        <f t="shared" si="7"/>
        <v>0</v>
      </c>
    </row>
    <row r="256" spans="1:19" x14ac:dyDescent="0.3">
      <c r="A256" s="5">
        <v>44086</v>
      </c>
      <c r="B256" t="s">
        <v>61</v>
      </c>
      <c r="P256">
        <v>74.069999999999993</v>
      </c>
      <c r="R256">
        <f t="shared" si="6"/>
        <v>0</v>
      </c>
      <c r="S256" s="3">
        <f t="shared" si="7"/>
        <v>0</v>
      </c>
    </row>
    <row r="257" spans="1:19" x14ac:dyDescent="0.3">
      <c r="A257" s="5">
        <v>44087</v>
      </c>
      <c r="B257" t="s">
        <v>61</v>
      </c>
      <c r="P257">
        <v>74.069999999999993</v>
      </c>
      <c r="R257">
        <f t="shared" si="6"/>
        <v>0</v>
      </c>
      <c r="S257" s="3">
        <f t="shared" si="7"/>
        <v>0</v>
      </c>
    </row>
    <row r="258" spans="1:19" x14ac:dyDescent="0.3">
      <c r="A258" s="5">
        <v>44088</v>
      </c>
      <c r="B258" t="s">
        <v>61</v>
      </c>
      <c r="P258">
        <v>76.849999999999994</v>
      </c>
      <c r="R258">
        <f t="shared" si="6"/>
        <v>0</v>
      </c>
      <c r="S258" s="3">
        <f t="shared" si="7"/>
        <v>0</v>
      </c>
    </row>
    <row r="259" spans="1:19" x14ac:dyDescent="0.3">
      <c r="A259" s="5">
        <v>44089</v>
      </c>
      <c r="B259" t="s">
        <v>61</v>
      </c>
      <c r="P259">
        <v>76.849999999999994</v>
      </c>
      <c r="R259">
        <f t="shared" si="6"/>
        <v>0</v>
      </c>
      <c r="S259" s="3">
        <f t="shared" si="7"/>
        <v>0</v>
      </c>
    </row>
    <row r="260" spans="1:19" x14ac:dyDescent="0.3">
      <c r="A260" s="5">
        <v>44090</v>
      </c>
      <c r="B260" t="s">
        <v>61</v>
      </c>
      <c r="P260">
        <v>76.849999999999994</v>
      </c>
      <c r="R260">
        <f t="shared" si="6"/>
        <v>0</v>
      </c>
      <c r="S260" s="3">
        <f t="shared" si="7"/>
        <v>0</v>
      </c>
    </row>
    <row r="261" spans="1:19" x14ac:dyDescent="0.3">
      <c r="A261" s="5">
        <v>44091</v>
      </c>
      <c r="B261" t="s">
        <v>61</v>
      </c>
      <c r="P261">
        <v>76.849999999999994</v>
      </c>
      <c r="R261">
        <f t="shared" si="6"/>
        <v>0</v>
      </c>
      <c r="S261" s="3">
        <f t="shared" si="7"/>
        <v>0</v>
      </c>
    </row>
    <row r="262" spans="1:19" x14ac:dyDescent="0.3">
      <c r="A262" s="5">
        <v>44092</v>
      </c>
      <c r="B262" t="s">
        <v>61</v>
      </c>
      <c r="P262">
        <v>76.849999999999994</v>
      </c>
      <c r="R262">
        <f t="shared" ref="R262:R325" si="8">J262-K262</f>
        <v>0</v>
      </c>
      <c r="S262" s="3">
        <f t="shared" ref="S262:S325" si="9">MIN(1, (0.5*MAX(R262,0) + 1*K262)/100 )</f>
        <v>0</v>
      </c>
    </row>
    <row r="263" spans="1:19" x14ac:dyDescent="0.3">
      <c r="A263" s="5">
        <v>44093</v>
      </c>
      <c r="B263" t="s">
        <v>61</v>
      </c>
      <c r="P263">
        <v>76.849999999999994</v>
      </c>
      <c r="R263">
        <f t="shared" si="8"/>
        <v>0</v>
      </c>
      <c r="S263" s="3">
        <f t="shared" si="9"/>
        <v>0</v>
      </c>
    </row>
    <row r="264" spans="1:19" x14ac:dyDescent="0.3">
      <c r="A264" s="5">
        <v>44094</v>
      </c>
      <c r="B264" t="s">
        <v>61</v>
      </c>
      <c r="P264">
        <v>76.849999999999994</v>
      </c>
      <c r="R264">
        <f t="shared" si="8"/>
        <v>0</v>
      </c>
      <c r="S264" s="3">
        <f t="shared" si="9"/>
        <v>0</v>
      </c>
    </row>
    <row r="265" spans="1:19" x14ac:dyDescent="0.3">
      <c r="A265" s="5">
        <v>44095</v>
      </c>
      <c r="B265" t="s">
        <v>61</v>
      </c>
      <c r="P265">
        <v>76.849999999999994</v>
      </c>
      <c r="R265">
        <f t="shared" si="8"/>
        <v>0</v>
      </c>
      <c r="S265" s="3">
        <f t="shared" si="9"/>
        <v>0</v>
      </c>
    </row>
    <row r="266" spans="1:19" x14ac:dyDescent="0.3">
      <c r="A266" s="5">
        <v>44096</v>
      </c>
      <c r="B266" t="s">
        <v>61</v>
      </c>
      <c r="P266">
        <v>76.849999999999994</v>
      </c>
      <c r="R266">
        <f t="shared" si="8"/>
        <v>0</v>
      </c>
      <c r="S266" s="3">
        <f t="shared" si="9"/>
        <v>0</v>
      </c>
    </row>
    <row r="267" spans="1:19" x14ac:dyDescent="0.3">
      <c r="A267" s="5">
        <v>44097</v>
      </c>
      <c r="B267" t="s">
        <v>61</v>
      </c>
      <c r="P267">
        <v>76.849999999999994</v>
      </c>
      <c r="R267">
        <f t="shared" si="8"/>
        <v>0</v>
      </c>
      <c r="S267" s="3">
        <f t="shared" si="9"/>
        <v>0</v>
      </c>
    </row>
    <row r="268" spans="1:19" x14ac:dyDescent="0.3">
      <c r="A268" s="5">
        <v>44098</v>
      </c>
      <c r="B268" t="s">
        <v>61</v>
      </c>
      <c r="P268">
        <v>76.849999999999994</v>
      </c>
      <c r="R268">
        <f t="shared" si="8"/>
        <v>0</v>
      </c>
      <c r="S268" s="3">
        <f t="shared" si="9"/>
        <v>0</v>
      </c>
    </row>
    <row r="269" spans="1:19" x14ac:dyDescent="0.3">
      <c r="A269" s="5">
        <v>44099</v>
      </c>
      <c r="B269" t="s">
        <v>61</v>
      </c>
      <c r="P269">
        <v>76.849999999999994</v>
      </c>
      <c r="R269">
        <f t="shared" si="8"/>
        <v>0</v>
      </c>
      <c r="S269" s="3">
        <f t="shared" si="9"/>
        <v>0</v>
      </c>
    </row>
    <row r="270" spans="1:19" x14ac:dyDescent="0.3">
      <c r="A270" s="5">
        <v>44100</v>
      </c>
      <c r="B270" t="s">
        <v>61</v>
      </c>
      <c r="P270">
        <v>76.849999999999994</v>
      </c>
      <c r="R270">
        <f t="shared" si="8"/>
        <v>0</v>
      </c>
      <c r="S270" s="3">
        <f t="shared" si="9"/>
        <v>0</v>
      </c>
    </row>
    <row r="271" spans="1:19" x14ac:dyDescent="0.3">
      <c r="A271" s="5">
        <v>44101</v>
      </c>
      <c r="B271" t="s">
        <v>61</v>
      </c>
      <c r="P271">
        <v>76.849999999999994</v>
      </c>
      <c r="R271">
        <f t="shared" si="8"/>
        <v>0</v>
      </c>
      <c r="S271" s="3">
        <f t="shared" si="9"/>
        <v>0</v>
      </c>
    </row>
    <row r="272" spans="1:19" x14ac:dyDescent="0.3">
      <c r="A272" s="5">
        <v>44102</v>
      </c>
      <c r="B272" t="s">
        <v>61</v>
      </c>
      <c r="P272">
        <v>76.849999999999994</v>
      </c>
      <c r="R272">
        <f t="shared" si="8"/>
        <v>0</v>
      </c>
      <c r="S272" s="3">
        <f t="shared" si="9"/>
        <v>0</v>
      </c>
    </row>
    <row r="273" spans="1:19" x14ac:dyDescent="0.3">
      <c r="A273" s="5">
        <v>44103</v>
      </c>
      <c r="B273" t="s">
        <v>61</v>
      </c>
      <c r="P273">
        <v>76.849999999999994</v>
      </c>
      <c r="R273">
        <f t="shared" si="8"/>
        <v>0</v>
      </c>
      <c r="S273" s="3">
        <f t="shared" si="9"/>
        <v>0</v>
      </c>
    </row>
    <row r="274" spans="1:19" x14ac:dyDescent="0.3">
      <c r="A274" s="5">
        <v>44104</v>
      </c>
      <c r="B274" t="s">
        <v>61</v>
      </c>
      <c r="P274">
        <v>76.849999999999994</v>
      </c>
      <c r="R274">
        <f t="shared" si="8"/>
        <v>0</v>
      </c>
      <c r="S274" s="3">
        <f t="shared" si="9"/>
        <v>0</v>
      </c>
    </row>
    <row r="275" spans="1:19" x14ac:dyDescent="0.3">
      <c r="A275" s="5">
        <v>44105</v>
      </c>
      <c r="B275" t="s">
        <v>61</v>
      </c>
      <c r="P275">
        <v>76.849999999999994</v>
      </c>
      <c r="R275">
        <f t="shared" si="8"/>
        <v>0</v>
      </c>
      <c r="S275" s="3">
        <f t="shared" si="9"/>
        <v>0</v>
      </c>
    </row>
    <row r="276" spans="1:19" x14ac:dyDescent="0.3">
      <c r="A276" s="5">
        <v>44106</v>
      </c>
      <c r="B276" t="s">
        <v>61</v>
      </c>
      <c r="P276">
        <v>76.849999999999994</v>
      </c>
      <c r="R276">
        <f t="shared" si="8"/>
        <v>0</v>
      </c>
      <c r="S276" s="3">
        <f t="shared" si="9"/>
        <v>0</v>
      </c>
    </row>
    <row r="277" spans="1:19" x14ac:dyDescent="0.3">
      <c r="A277" s="5">
        <v>44107</v>
      </c>
      <c r="B277" t="s">
        <v>61</v>
      </c>
      <c r="P277">
        <v>76.849999999999994</v>
      </c>
      <c r="R277">
        <f t="shared" si="8"/>
        <v>0</v>
      </c>
      <c r="S277" s="3">
        <f t="shared" si="9"/>
        <v>0</v>
      </c>
    </row>
    <row r="278" spans="1:19" x14ac:dyDescent="0.3">
      <c r="A278" s="5">
        <v>44108</v>
      </c>
      <c r="B278" t="s">
        <v>61</v>
      </c>
      <c r="P278">
        <v>76.849999999999994</v>
      </c>
      <c r="R278">
        <f t="shared" si="8"/>
        <v>0</v>
      </c>
      <c r="S278" s="3">
        <f t="shared" si="9"/>
        <v>0</v>
      </c>
    </row>
    <row r="279" spans="1:19" x14ac:dyDescent="0.3">
      <c r="A279" s="5">
        <v>44109</v>
      </c>
      <c r="B279" t="s">
        <v>61</v>
      </c>
      <c r="P279">
        <v>76.849999999999994</v>
      </c>
      <c r="R279">
        <f t="shared" si="8"/>
        <v>0</v>
      </c>
      <c r="S279" s="3">
        <f t="shared" si="9"/>
        <v>0</v>
      </c>
    </row>
    <row r="280" spans="1:19" x14ac:dyDescent="0.3">
      <c r="A280" s="5">
        <v>44110</v>
      </c>
      <c r="B280" t="s">
        <v>61</v>
      </c>
      <c r="P280">
        <v>76.849999999999994</v>
      </c>
      <c r="R280">
        <f t="shared" si="8"/>
        <v>0</v>
      </c>
      <c r="S280" s="3">
        <f t="shared" si="9"/>
        <v>0</v>
      </c>
    </row>
    <row r="281" spans="1:19" x14ac:dyDescent="0.3">
      <c r="A281" s="5">
        <v>44111</v>
      </c>
      <c r="B281" t="s">
        <v>61</v>
      </c>
      <c r="P281">
        <v>76.849999999999994</v>
      </c>
      <c r="R281">
        <f t="shared" si="8"/>
        <v>0</v>
      </c>
      <c r="S281" s="3">
        <f t="shared" si="9"/>
        <v>0</v>
      </c>
    </row>
    <row r="282" spans="1:19" x14ac:dyDescent="0.3">
      <c r="A282" s="5">
        <v>44112</v>
      </c>
      <c r="B282" t="s">
        <v>61</v>
      </c>
      <c r="P282">
        <v>76.849999999999994</v>
      </c>
      <c r="R282">
        <f t="shared" si="8"/>
        <v>0</v>
      </c>
      <c r="S282" s="3">
        <f t="shared" si="9"/>
        <v>0</v>
      </c>
    </row>
    <row r="283" spans="1:19" x14ac:dyDescent="0.3">
      <c r="A283" s="5">
        <v>44113</v>
      </c>
      <c r="B283" t="s">
        <v>61</v>
      </c>
      <c r="P283">
        <v>63.89</v>
      </c>
      <c r="R283">
        <f t="shared" si="8"/>
        <v>0</v>
      </c>
      <c r="S283" s="3">
        <f t="shared" si="9"/>
        <v>0</v>
      </c>
    </row>
    <row r="284" spans="1:19" x14ac:dyDescent="0.3">
      <c r="A284" s="5">
        <v>44114</v>
      </c>
      <c r="B284" t="s">
        <v>61</v>
      </c>
      <c r="P284">
        <v>63.89</v>
      </c>
      <c r="R284">
        <f t="shared" si="8"/>
        <v>0</v>
      </c>
      <c r="S284" s="3">
        <f t="shared" si="9"/>
        <v>0</v>
      </c>
    </row>
    <row r="285" spans="1:19" x14ac:dyDescent="0.3">
      <c r="A285" s="5">
        <v>44115</v>
      </c>
      <c r="B285" t="s">
        <v>61</v>
      </c>
      <c r="P285">
        <v>63.89</v>
      </c>
      <c r="R285">
        <f t="shared" si="8"/>
        <v>0</v>
      </c>
      <c r="S285" s="3">
        <f t="shared" si="9"/>
        <v>0</v>
      </c>
    </row>
    <row r="286" spans="1:19" x14ac:dyDescent="0.3">
      <c r="A286" s="5">
        <v>44116</v>
      </c>
      <c r="B286" t="s">
        <v>61</v>
      </c>
      <c r="P286">
        <v>63.89</v>
      </c>
      <c r="R286">
        <f t="shared" si="8"/>
        <v>0</v>
      </c>
      <c r="S286" s="3">
        <f t="shared" si="9"/>
        <v>0</v>
      </c>
    </row>
    <row r="287" spans="1:19" x14ac:dyDescent="0.3">
      <c r="A287" s="5">
        <v>44117</v>
      </c>
      <c r="B287" t="s">
        <v>61</v>
      </c>
      <c r="P287">
        <v>63.89</v>
      </c>
      <c r="R287">
        <f t="shared" si="8"/>
        <v>0</v>
      </c>
      <c r="S287" s="3">
        <f t="shared" si="9"/>
        <v>0</v>
      </c>
    </row>
    <row r="288" spans="1:19" x14ac:dyDescent="0.3">
      <c r="A288" s="5">
        <v>44118</v>
      </c>
      <c r="B288" t="s">
        <v>61</v>
      </c>
      <c r="P288">
        <v>63.89</v>
      </c>
      <c r="R288">
        <f t="shared" si="8"/>
        <v>0</v>
      </c>
      <c r="S288" s="3">
        <f t="shared" si="9"/>
        <v>0</v>
      </c>
    </row>
    <row r="289" spans="1:19" x14ac:dyDescent="0.3">
      <c r="A289" s="5">
        <v>44119</v>
      </c>
      <c r="B289" t="s">
        <v>61</v>
      </c>
      <c r="P289">
        <v>63.89</v>
      </c>
      <c r="R289">
        <f t="shared" si="8"/>
        <v>0</v>
      </c>
      <c r="S289" s="3">
        <f t="shared" si="9"/>
        <v>0</v>
      </c>
    </row>
    <row r="290" spans="1:19" x14ac:dyDescent="0.3">
      <c r="A290" s="5">
        <v>44120</v>
      </c>
      <c r="B290" t="s">
        <v>61</v>
      </c>
      <c r="P290">
        <v>63.89</v>
      </c>
      <c r="R290">
        <f t="shared" si="8"/>
        <v>0</v>
      </c>
      <c r="S290" s="3">
        <f t="shared" si="9"/>
        <v>0</v>
      </c>
    </row>
    <row r="291" spans="1:19" x14ac:dyDescent="0.3">
      <c r="A291" s="5">
        <v>44121</v>
      </c>
      <c r="B291" t="s">
        <v>61</v>
      </c>
      <c r="P291">
        <v>63.89</v>
      </c>
      <c r="R291">
        <f t="shared" si="8"/>
        <v>0</v>
      </c>
      <c r="S291" s="3">
        <f t="shared" si="9"/>
        <v>0</v>
      </c>
    </row>
    <row r="292" spans="1:19" x14ac:dyDescent="0.3">
      <c r="A292" s="5">
        <v>44122</v>
      </c>
      <c r="B292" t="s">
        <v>61</v>
      </c>
      <c r="P292">
        <v>63.89</v>
      </c>
      <c r="R292">
        <f t="shared" si="8"/>
        <v>0</v>
      </c>
      <c r="S292" s="3">
        <f t="shared" si="9"/>
        <v>0</v>
      </c>
    </row>
    <row r="293" spans="1:19" x14ac:dyDescent="0.3">
      <c r="A293" s="5">
        <v>44123</v>
      </c>
      <c r="B293" t="s">
        <v>61</v>
      </c>
      <c r="P293">
        <v>63.89</v>
      </c>
      <c r="R293">
        <f t="shared" si="8"/>
        <v>0</v>
      </c>
      <c r="S293" s="3">
        <f t="shared" si="9"/>
        <v>0</v>
      </c>
    </row>
    <row r="294" spans="1:19" x14ac:dyDescent="0.3">
      <c r="A294" s="5">
        <v>44124</v>
      </c>
      <c r="B294" t="s">
        <v>61</v>
      </c>
      <c r="P294">
        <v>63.89</v>
      </c>
      <c r="R294">
        <f t="shared" si="8"/>
        <v>0</v>
      </c>
      <c r="S294" s="3">
        <f t="shared" si="9"/>
        <v>0</v>
      </c>
    </row>
    <row r="295" spans="1:19" x14ac:dyDescent="0.3">
      <c r="A295" s="5">
        <v>44125</v>
      </c>
      <c r="B295" t="s">
        <v>61</v>
      </c>
      <c r="P295">
        <v>63.89</v>
      </c>
      <c r="R295">
        <f t="shared" si="8"/>
        <v>0</v>
      </c>
      <c r="S295" s="3">
        <f t="shared" si="9"/>
        <v>0</v>
      </c>
    </row>
    <row r="296" spans="1:19" x14ac:dyDescent="0.3">
      <c r="A296" s="5">
        <v>44126</v>
      </c>
      <c r="B296" t="s">
        <v>61</v>
      </c>
      <c r="P296">
        <v>63.89</v>
      </c>
      <c r="R296">
        <f t="shared" si="8"/>
        <v>0</v>
      </c>
      <c r="S296" s="3">
        <f t="shared" si="9"/>
        <v>0</v>
      </c>
    </row>
    <row r="297" spans="1:19" x14ac:dyDescent="0.3">
      <c r="A297" s="5">
        <v>44127</v>
      </c>
      <c r="B297" t="s">
        <v>61</v>
      </c>
      <c r="P297">
        <v>63.89</v>
      </c>
      <c r="R297">
        <f t="shared" si="8"/>
        <v>0</v>
      </c>
      <c r="S297" s="3">
        <f t="shared" si="9"/>
        <v>0</v>
      </c>
    </row>
    <row r="298" spans="1:19" x14ac:dyDescent="0.3">
      <c r="A298" s="5">
        <v>44128</v>
      </c>
      <c r="B298" t="s">
        <v>61</v>
      </c>
      <c r="P298">
        <v>63.89</v>
      </c>
      <c r="R298">
        <f t="shared" si="8"/>
        <v>0</v>
      </c>
      <c r="S298" s="3">
        <f t="shared" si="9"/>
        <v>0</v>
      </c>
    </row>
    <row r="299" spans="1:19" x14ac:dyDescent="0.3">
      <c r="A299" s="5">
        <v>44129</v>
      </c>
      <c r="B299" t="s">
        <v>61</v>
      </c>
      <c r="P299">
        <v>63.89</v>
      </c>
      <c r="R299">
        <f t="shared" si="8"/>
        <v>0</v>
      </c>
      <c r="S299" s="3">
        <f t="shared" si="9"/>
        <v>0</v>
      </c>
    </row>
    <row r="300" spans="1:19" x14ac:dyDescent="0.3">
      <c r="A300" s="5">
        <v>44130</v>
      </c>
      <c r="B300" t="s">
        <v>61</v>
      </c>
      <c r="P300">
        <v>63.89</v>
      </c>
      <c r="R300">
        <f t="shared" si="8"/>
        <v>0</v>
      </c>
      <c r="S300" s="3">
        <f t="shared" si="9"/>
        <v>0</v>
      </c>
    </row>
    <row r="301" spans="1:19" x14ac:dyDescent="0.3">
      <c r="A301" s="5">
        <v>44131</v>
      </c>
      <c r="B301" t="s">
        <v>61</v>
      </c>
      <c r="P301">
        <v>63.89</v>
      </c>
      <c r="R301">
        <f t="shared" si="8"/>
        <v>0</v>
      </c>
      <c r="S301" s="3">
        <f t="shared" si="9"/>
        <v>0</v>
      </c>
    </row>
    <row r="302" spans="1:19" x14ac:dyDescent="0.3">
      <c r="A302" s="5">
        <v>44132</v>
      </c>
      <c r="B302" t="s">
        <v>61</v>
      </c>
      <c r="P302">
        <v>63.89</v>
      </c>
      <c r="R302">
        <f t="shared" si="8"/>
        <v>0</v>
      </c>
      <c r="S302" s="3">
        <f t="shared" si="9"/>
        <v>0</v>
      </c>
    </row>
    <row r="303" spans="1:19" x14ac:dyDescent="0.3">
      <c r="A303" s="5">
        <v>44133</v>
      </c>
      <c r="B303" t="s">
        <v>61</v>
      </c>
      <c r="P303">
        <v>63.89</v>
      </c>
      <c r="R303">
        <f t="shared" si="8"/>
        <v>0</v>
      </c>
      <c r="S303" s="3">
        <f t="shared" si="9"/>
        <v>0</v>
      </c>
    </row>
    <row r="304" spans="1:19" x14ac:dyDescent="0.3">
      <c r="A304" s="5">
        <v>44134</v>
      </c>
      <c r="B304" t="s">
        <v>61</v>
      </c>
      <c r="P304">
        <v>63.89</v>
      </c>
      <c r="R304">
        <f t="shared" si="8"/>
        <v>0</v>
      </c>
      <c r="S304" s="3">
        <f t="shared" si="9"/>
        <v>0</v>
      </c>
    </row>
    <row r="305" spans="1:19" x14ac:dyDescent="0.3">
      <c r="A305" s="5">
        <v>44135</v>
      </c>
      <c r="B305" t="s">
        <v>61</v>
      </c>
      <c r="P305">
        <v>63.89</v>
      </c>
      <c r="R305">
        <f t="shared" si="8"/>
        <v>0</v>
      </c>
      <c r="S305" s="3">
        <f t="shared" si="9"/>
        <v>0</v>
      </c>
    </row>
    <row r="306" spans="1:19" x14ac:dyDescent="0.3">
      <c r="A306" s="5">
        <v>44136</v>
      </c>
      <c r="B306" t="s">
        <v>61</v>
      </c>
      <c r="P306">
        <v>63.89</v>
      </c>
      <c r="R306">
        <f t="shared" si="8"/>
        <v>0</v>
      </c>
      <c r="S306" s="3">
        <f t="shared" si="9"/>
        <v>0</v>
      </c>
    </row>
    <row r="307" spans="1:19" x14ac:dyDescent="0.3">
      <c r="A307" s="5">
        <v>44137</v>
      </c>
      <c r="B307" t="s">
        <v>61</v>
      </c>
      <c r="P307">
        <v>63.89</v>
      </c>
      <c r="R307">
        <f t="shared" si="8"/>
        <v>0</v>
      </c>
      <c r="S307" s="3">
        <f t="shared" si="9"/>
        <v>0</v>
      </c>
    </row>
    <row r="308" spans="1:19" x14ac:dyDescent="0.3">
      <c r="A308" s="5">
        <v>44138</v>
      </c>
      <c r="B308" t="s">
        <v>61</v>
      </c>
      <c r="P308">
        <v>63.89</v>
      </c>
      <c r="R308">
        <f t="shared" si="8"/>
        <v>0</v>
      </c>
      <c r="S308" s="3">
        <f t="shared" si="9"/>
        <v>0</v>
      </c>
    </row>
    <row r="309" spans="1:19" x14ac:dyDescent="0.3">
      <c r="A309" s="5">
        <v>44139</v>
      </c>
      <c r="B309" t="s">
        <v>61</v>
      </c>
      <c r="P309">
        <v>63.89</v>
      </c>
      <c r="R309">
        <f t="shared" si="8"/>
        <v>0</v>
      </c>
      <c r="S309" s="3">
        <f t="shared" si="9"/>
        <v>0</v>
      </c>
    </row>
    <row r="310" spans="1:19" x14ac:dyDescent="0.3">
      <c r="A310" s="5">
        <v>44140</v>
      </c>
      <c r="B310" t="s">
        <v>61</v>
      </c>
      <c r="P310">
        <v>63.89</v>
      </c>
      <c r="R310">
        <f t="shared" si="8"/>
        <v>0</v>
      </c>
      <c r="S310" s="3">
        <f t="shared" si="9"/>
        <v>0</v>
      </c>
    </row>
    <row r="311" spans="1:19" x14ac:dyDescent="0.3">
      <c r="A311" s="5">
        <v>44141</v>
      </c>
      <c r="B311" t="s">
        <v>61</v>
      </c>
      <c r="P311">
        <v>63.89</v>
      </c>
      <c r="R311">
        <f t="shared" si="8"/>
        <v>0</v>
      </c>
      <c r="S311" s="3">
        <f t="shared" si="9"/>
        <v>0</v>
      </c>
    </row>
    <row r="312" spans="1:19" x14ac:dyDescent="0.3">
      <c r="A312" s="5">
        <v>44142</v>
      </c>
      <c r="B312" t="s">
        <v>61</v>
      </c>
      <c r="P312">
        <v>63.89</v>
      </c>
      <c r="R312">
        <f t="shared" si="8"/>
        <v>0</v>
      </c>
      <c r="S312" s="3">
        <f t="shared" si="9"/>
        <v>0</v>
      </c>
    </row>
    <row r="313" spans="1:19" x14ac:dyDescent="0.3">
      <c r="A313" s="5">
        <v>44143</v>
      </c>
      <c r="B313" t="s">
        <v>61</v>
      </c>
      <c r="P313">
        <v>63.89</v>
      </c>
      <c r="R313">
        <f t="shared" si="8"/>
        <v>0</v>
      </c>
      <c r="S313" s="3">
        <f t="shared" si="9"/>
        <v>0</v>
      </c>
    </row>
    <row r="314" spans="1:19" x14ac:dyDescent="0.3">
      <c r="A314" s="5">
        <v>44144</v>
      </c>
      <c r="B314" t="s">
        <v>61</v>
      </c>
      <c r="P314">
        <v>63.89</v>
      </c>
      <c r="R314">
        <f t="shared" si="8"/>
        <v>0</v>
      </c>
      <c r="S314" s="3">
        <f t="shared" si="9"/>
        <v>0</v>
      </c>
    </row>
    <row r="315" spans="1:19" x14ac:dyDescent="0.3">
      <c r="A315" s="5">
        <v>44145</v>
      </c>
      <c r="B315" t="s">
        <v>61</v>
      </c>
      <c r="P315">
        <v>63.89</v>
      </c>
      <c r="R315">
        <f t="shared" si="8"/>
        <v>0</v>
      </c>
      <c r="S315" s="3">
        <f t="shared" si="9"/>
        <v>0</v>
      </c>
    </row>
    <row r="316" spans="1:19" x14ac:dyDescent="0.3">
      <c r="A316" s="5">
        <v>44146</v>
      </c>
      <c r="B316" t="s">
        <v>61</v>
      </c>
      <c r="P316">
        <v>63.89</v>
      </c>
      <c r="R316">
        <f t="shared" si="8"/>
        <v>0</v>
      </c>
      <c r="S316" s="3">
        <f t="shared" si="9"/>
        <v>0</v>
      </c>
    </row>
    <row r="317" spans="1:19" x14ac:dyDescent="0.3">
      <c r="A317" s="5">
        <v>44147</v>
      </c>
      <c r="B317" t="s">
        <v>61</v>
      </c>
      <c r="P317">
        <v>63.89</v>
      </c>
      <c r="R317">
        <f t="shared" si="8"/>
        <v>0</v>
      </c>
      <c r="S317" s="3">
        <f t="shared" si="9"/>
        <v>0</v>
      </c>
    </row>
    <row r="318" spans="1:19" x14ac:dyDescent="0.3">
      <c r="A318" s="5">
        <v>44148</v>
      </c>
      <c r="B318" t="s">
        <v>61</v>
      </c>
      <c r="P318">
        <v>63.89</v>
      </c>
      <c r="R318">
        <f t="shared" si="8"/>
        <v>0</v>
      </c>
      <c r="S318" s="3">
        <f t="shared" si="9"/>
        <v>0</v>
      </c>
    </row>
    <row r="319" spans="1:19" x14ac:dyDescent="0.3">
      <c r="A319" s="5">
        <v>44149</v>
      </c>
      <c r="B319" t="s">
        <v>61</v>
      </c>
      <c r="P319">
        <v>63.89</v>
      </c>
      <c r="R319">
        <f t="shared" si="8"/>
        <v>0</v>
      </c>
      <c r="S319" s="3">
        <f t="shared" si="9"/>
        <v>0</v>
      </c>
    </row>
    <row r="320" spans="1:19" x14ac:dyDescent="0.3">
      <c r="A320" s="5">
        <v>44150</v>
      </c>
      <c r="B320" t="s">
        <v>61</v>
      </c>
      <c r="P320">
        <v>63.89</v>
      </c>
      <c r="R320">
        <f t="shared" si="8"/>
        <v>0</v>
      </c>
      <c r="S320" s="3">
        <f t="shared" si="9"/>
        <v>0</v>
      </c>
    </row>
    <row r="321" spans="1:19" x14ac:dyDescent="0.3">
      <c r="A321" s="5">
        <v>44151</v>
      </c>
      <c r="B321" t="s">
        <v>61</v>
      </c>
      <c r="P321">
        <v>63.89</v>
      </c>
      <c r="R321">
        <f t="shared" si="8"/>
        <v>0</v>
      </c>
      <c r="S321" s="3">
        <f t="shared" si="9"/>
        <v>0</v>
      </c>
    </row>
    <row r="322" spans="1:19" x14ac:dyDescent="0.3">
      <c r="A322" s="5">
        <v>44152</v>
      </c>
      <c r="B322" t="s">
        <v>61</v>
      </c>
      <c r="P322">
        <v>63.89</v>
      </c>
      <c r="R322">
        <f t="shared" si="8"/>
        <v>0</v>
      </c>
      <c r="S322" s="3">
        <f t="shared" si="9"/>
        <v>0</v>
      </c>
    </row>
    <row r="323" spans="1:19" x14ac:dyDescent="0.3">
      <c r="A323" s="5">
        <v>44153</v>
      </c>
      <c r="B323" t="s">
        <v>61</v>
      </c>
      <c r="P323">
        <v>63.89</v>
      </c>
      <c r="R323">
        <f t="shared" si="8"/>
        <v>0</v>
      </c>
      <c r="S323" s="3">
        <f t="shared" si="9"/>
        <v>0</v>
      </c>
    </row>
    <row r="324" spans="1:19" x14ac:dyDescent="0.3">
      <c r="A324" s="5">
        <v>44154</v>
      </c>
      <c r="B324" t="s">
        <v>61</v>
      </c>
      <c r="P324">
        <v>63.89</v>
      </c>
      <c r="R324">
        <f t="shared" si="8"/>
        <v>0</v>
      </c>
      <c r="S324" s="3">
        <f t="shared" si="9"/>
        <v>0</v>
      </c>
    </row>
    <row r="325" spans="1:19" x14ac:dyDescent="0.3">
      <c r="A325" s="5">
        <v>44155</v>
      </c>
      <c r="B325" t="s">
        <v>61</v>
      </c>
      <c r="P325">
        <v>63.89</v>
      </c>
      <c r="R325">
        <f t="shared" si="8"/>
        <v>0</v>
      </c>
      <c r="S325" s="3">
        <f t="shared" si="9"/>
        <v>0</v>
      </c>
    </row>
    <row r="326" spans="1:19" x14ac:dyDescent="0.3">
      <c r="A326" s="5">
        <v>44156</v>
      </c>
      <c r="B326" t="s">
        <v>61</v>
      </c>
      <c r="P326">
        <v>63.89</v>
      </c>
      <c r="R326">
        <f t="shared" ref="R326:R389" si="10">J326-K326</f>
        <v>0</v>
      </c>
      <c r="S326" s="3">
        <f t="shared" ref="S326:S389" si="11">MIN(1, (0.5*MAX(R326,0) + 1*K326)/100 )</f>
        <v>0</v>
      </c>
    </row>
    <row r="327" spans="1:19" x14ac:dyDescent="0.3">
      <c r="A327" s="5">
        <v>44157</v>
      </c>
      <c r="B327" t="s">
        <v>61</v>
      </c>
      <c r="P327">
        <v>63.89</v>
      </c>
      <c r="R327">
        <f t="shared" si="10"/>
        <v>0</v>
      </c>
      <c r="S327" s="3">
        <f t="shared" si="11"/>
        <v>0</v>
      </c>
    </row>
    <row r="328" spans="1:19" x14ac:dyDescent="0.3">
      <c r="A328" s="5">
        <v>44158</v>
      </c>
      <c r="B328" t="s">
        <v>61</v>
      </c>
      <c r="P328">
        <v>63.89</v>
      </c>
      <c r="R328">
        <f t="shared" si="10"/>
        <v>0</v>
      </c>
      <c r="S328" s="3">
        <f t="shared" si="11"/>
        <v>0</v>
      </c>
    </row>
    <row r="329" spans="1:19" x14ac:dyDescent="0.3">
      <c r="A329" s="5">
        <v>44159</v>
      </c>
      <c r="B329" t="s">
        <v>61</v>
      </c>
      <c r="P329">
        <v>60.19</v>
      </c>
      <c r="R329">
        <f t="shared" si="10"/>
        <v>0</v>
      </c>
      <c r="S329" s="3">
        <f t="shared" si="11"/>
        <v>0</v>
      </c>
    </row>
    <row r="330" spans="1:19" x14ac:dyDescent="0.3">
      <c r="A330" s="5">
        <v>44160</v>
      </c>
      <c r="B330" t="s">
        <v>61</v>
      </c>
      <c r="P330">
        <v>60.19</v>
      </c>
      <c r="R330">
        <f t="shared" si="10"/>
        <v>0</v>
      </c>
      <c r="S330" s="3">
        <f t="shared" si="11"/>
        <v>0</v>
      </c>
    </row>
    <row r="331" spans="1:19" x14ac:dyDescent="0.3">
      <c r="A331" s="5">
        <v>44161</v>
      </c>
      <c r="B331" t="s">
        <v>61</v>
      </c>
      <c r="P331">
        <v>60.19</v>
      </c>
      <c r="R331">
        <f t="shared" si="10"/>
        <v>0</v>
      </c>
      <c r="S331" s="3">
        <f t="shared" si="11"/>
        <v>0</v>
      </c>
    </row>
    <row r="332" spans="1:19" x14ac:dyDescent="0.3">
      <c r="A332" s="5">
        <v>44162</v>
      </c>
      <c r="B332" t="s">
        <v>61</v>
      </c>
      <c r="P332">
        <v>60.19</v>
      </c>
      <c r="R332">
        <f t="shared" si="10"/>
        <v>0</v>
      </c>
      <c r="S332" s="3">
        <f t="shared" si="11"/>
        <v>0</v>
      </c>
    </row>
    <row r="333" spans="1:19" x14ac:dyDescent="0.3">
      <c r="A333" s="5">
        <v>44163</v>
      </c>
      <c r="B333" t="s">
        <v>61</v>
      </c>
      <c r="P333">
        <v>60.19</v>
      </c>
      <c r="R333">
        <f t="shared" si="10"/>
        <v>0</v>
      </c>
      <c r="S333" s="3">
        <f t="shared" si="11"/>
        <v>0</v>
      </c>
    </row>
    <row r="334" spans="1:19" x14ac:dyDescent="0.3">
      <c r="A334" s="5">
        <v>44164</v>
      </c>
      <c r="B334" t="s">
        <v>61</v>
      </c>
      <c r="P334">
        <v>60.19</v>
      </c>
      <c r="R334">
        <f t="shared" si="10"/>
        <v>0</v>
      </c>
      <c r="S334" s="3">
        <f t="shared" si="11"/>
        <v>0</v>
      </c>
    </row>
    <row r="335" spans="1:19" x14ac:dyDescent="0.3">
      <c r="A335" s="5">
        <v>44165</v>
      </c>
      <c r="B335" t="s">
        <v>61</v>
      </c>
      <c r="P335">
        <v>60.19</v>
      </c>
      <c r="R335">
        <f t="shared" si="10"/>
        <v>0</v>
      </c>
      <c r="S335" s="3">
        <f t="shared" si="11"/>
        <v>0</v>
      </c>
    </row>
    <row r="336" spans="1:19" x14ac:dyDescent="0.3">
      <c r="A336" s="5">
        <v>44166</v>
      </c>
      <c r="B336" t="s">
        <v>61</v>
      </c>
      <c r="P336">
        <v>60.19</v>
      </c>
      <c r="R336">
        <f t="shared" si="10"/>
        <v>0</v>
      </c>
      <c r="S336" s="3">
        <f t="shared" si="11"/>
        <v>0</v>
      </c>
    </row>
    <row r="337" spans="1:19" x14ac:dyDescent="0.3">
      <c r="A337" s="5">
        <v>44167</v>
      </c>
      <c r="B337" t="s">
        <v>61</v>
      </c>
      <c r="P337">
        <v>60.19</v>
      </c>
      <c r="R337">
        <f t="shared" si="10"/>
        <v>0</v>
      </c>
      <c r="S337" s="3">
        <f t="shared" si="11"/>
        <v>0</v>
      </c>
    </row>
    <row r="338" spans="1:19" x14ac:dyDescent="0.3">
      <c r="A338" s="5">
        <v>44168</v>
      </c>
      <c r="B338" t="s">
        <v>61</v>
      </c>
      <c r="P338">
        <v>60.19</v>
      </c>
      <c r="R338">
        <f t="shared" si="10"/>
        <v>0</v>
      </c>
      <c r="S338" s="3">
        <f t="shared" si="11"/>
        <v>0</v>
      </c>
    </row>
    <row r="339" spans="1:19" x14ac:dyDescent="0.3">
      <c r="A339" s="5">
        <v>44169</v>
      </c>
      <c r="B339" t="s">
        <v>61</v>
      </c>
      <c r="P339">
        <v>60.19</v>
      </c>
      <c r="R339">
        <f t="shared" si="10"/>
        <v>0</v>
      </c>
      <c r="S339" s="3">
        <f t="shared" si="11"/>
        <v>0</v>
      </c>
    </row>
    <row r="340" spans="1:19" x14ac:dyDescent="0.3">
      <c r="A340" s="5">
        <v>44170</v>
      </c>
      <c r="B340" t="s">
        <v>61</v>
      </c>
      <c r="P340">
        <v>60.19</v>
      </c>
      <c r="R340">
        <f t="shared" si="10"/>
        <v>0</v>
      </c>
      <c r="S340" s="3">
        <f t="shared" si="11"/>
        <v>0</v>
      </c>
    </row>
    <row r="341" spans="1:19" x14ac:dyDescent="0.3">
      <c r="A341" s="5">
        <v>44171</v>
      </c>
      <c r="B341" t="s">
        <v>61</v>
      </c>
      <c r="P341">
        <v>60.19</v>
      </c>
      <c r="R341">
        <f t="shared" si="10"/>
        <v>0</v>
      </c>
      <c r="S341" s="3">
        <f t="shared" si="11"/>
        <v>0</v>
      </c>
    </row>
    <row r="342" spans="1:19" x14ac:dyDescent="0.3">
      <c r="A342" s="5">
        <v>44172</v>
      </c>
      <c r="B342" t="s">
        <v>61</v>
      </c>
      <c r="P342">
        <v>60.19</v>
      </c>
      <c r="R342">
        <f t="shared" si="10"/>
        <v>0</v>
      </c>
      <c r="S342" s="3">
        <f t="shared" si="11"/>
        <v>0</v>
      </c>
    </row>
    <row r="343" spans="1:19" x14ac:dyDescent="0.3">
      <c r="A343" s="5">
        <v>44173</v>
      </c>
      <c r="B343" t="s">
        <v>61</v>
      </c>
      <c r="P343">
        <v>60.19</v>
      </c>
      <c r="R343">
        <f t="shared" si="10"/>
        <v>0</v>
      </c>
      <c r="S343" s="3">
        <f t="shared" si="11"/>
        <v>0</v>
      </c>
    </row>
    <row r="344" spans="1:19" x14ac:dyDescent="0.3">
      <c r="A344" s="5">
        <v>44174</v>
      </c>
      <c r="B344" t="s">
        <v>61</v>
      </c>
      <c r="P344">
        <v>60.19</v>
      </c>
      <c r="R344">
        <f t="shared" si="10"/>
        <v>0</v>
      </c>
      <c r="S344" s="3">
        <f t="shared" si="11"/>
        <v>0</v>
      </c>
    </row>
    <row r="345" spans="1:19" x14ac:dyDescent="0.3">
      <c r="A345" s="5">
        <v>44175</v>
      </c>
      <c r="B345" t="s">
        <v>61</v>
      </c>
      <c r="P345">
        <v>60.19</v>
      </c>
      <c r="R345">
        <f t="shared" si="10"/>
        <v>0</v>
      </c>
      <c r="S345" s="3">
        <f t="shared" si="11"/>
        <v>0</v>
      </c>
    </row>
    <row r="346" spans="1:19" x14ac:dyDescent="0.3">
      <c r="A346" s="5">
        <v>44176</v>
      </c>
      <c r="B346" t="s">
        <v>61</v>
      </c>
      <c r="P346">
        <v>60.19</v>
      </c>
      <c r="R346">
        <f t="shared" si="10"/>
        <v>0</v>
      </c>
      <c r="S346" s="3">
        <f t="shared" si="11"/>
        <v>0</v>
      </c>
    </row>
    <row r="347" spans="1:19" x14ac:dyDescent="0.3">
      <c r="A347" s="5">
        <v>44177</v>
      </c>
      <c r="B347" t="s">
        <v>61</v>
      </c>
      <c r="P347">
        <v>60.19</v>
      </c>
      <c r="R347">
        <f t="shared" si="10"/>
        <v>0</v>
      </c>
      <c r="S347" s="3">
        <f t="shared" si="11"/>
        <v>0</v>
      </c>
    </row>
    <row r="348" spans="1:19" x14ac:dyDescent="0.3">
      <c r="A348" s="5">
        <v>44178</v>
      </c>
      <c r="B348" t="s">
        <v>61</v>
      </c>
      <c r="P348">
        <v>60.19</v>
      </c>
      <c r="R348">
        <f t="shared" si="10"/>
        <v>0</v>
      </c>
      <c r="S348" s="3">
        <f t="shared" si="11"/>
        <v>0</v>
      </c>
    </row>
    <row r="349" spans="1:19" x14ac:dyDescent="0.3">
      <c r="A349" s="5">
        <v>44179</v>
      </c>
      <c r="B349" t="s">
        <v>61</v>
      </c>
      <c r="P349">
        <v>60.19</v>
      </c>
      <c r="R349">
        <f t="shared" si="10"/>
        <v>0</v>
      </c>
      <c r="S349" s="3">
        <f t="shared" si="11"/>
        <v>0</v>
      </c>
    </row>
    <row r="350" spans="1:19" x14ac:dyDescent="0.3">
      <c r="A350" s="5">
        <v>44180</v>
      </c>
      <c r="B350" t="s">
        <v>61</v>
      </c>
      <c r="P350">
        <v>60.19</v>
      </c>
      <c r="R350">
        <f t="shared" si="10"/>
        <v>0</v>
      </c>
      <c r="S350" s="3">
        <f t="shared" si="11"/>
        <v>0</v>
      </c>
    </row>
    <row r="351" spans="1:19" x14ac:dyDescent="0.3">
      <c r="A351" s="5">
        <v>44181</v>
      </c>
      <c r="B351" t="s">
        <v>61</v>
      </c>
      <c r="P351">
        <v>60.19</v>
      </c>
      <c r="R351">
        <f t="shared" si="10"/>
        <v>0</v>
      </c>
      <c r="S351" s="3">
        <f t="shared" si="11"/>
        <v>0</v>
      </c>
    </row>
    <row r="352" spans="1:19" x14ac:dyDescent="0.3">
      <c r="A352" s="5">
        <v>44182</v>
      </c>
      <c r="B352" t="s">
        <v>61</v>
      </c>
      <c r="P352">
        <v>60.19</v>
      </c>
      <c r="R352">
        <f t="shared" si="10"/>
        <v>0</v>
      </c>
      <c r="S352" s="3">
        <f t="shared" si="11"/>
        <v>0</v>
      </c>
    </row>
    <row r="353" spans="1:19" x14ac:dyDescent="0.3">
      <c r="A353" s="5">
        <v>44183</v>
      </c>
      <c r="B353" t="s">
        <v>61</v>
      </c>
      <c r="P353">
        <v>60.19</v>
      </c>
      <c r="R353">
        <f t="shared" si="10"/>
        <v>0</v>
      </c>
      <c r="S353" s="3">
        <f t="shared" si="11"/>
        <v>0</v>
      </c>
    </row>
    <row r="354" spans="1:19" x14ac:dyDescent="0.3">
      <c r="A354" s="5">
        <v>44184</v>
      </c>
      <c r="B354" t="s">
        <v>61</v>
      </c>
      <c r="P354">
        <v>60.19</v>
      </c>
      <c r="R354">
        <f t="shared" si="10"/>
        <v>0</v>
      </c>
      <c r="S354" s="3">
        <f t="shared" si="11"/>
        <v>0</v>
      </c>
    </row>
    <row r="355" spans="1:19" x14ac:dyDescent="0.3">
      <c r="A355" s="5">
        <v>44185</v>
      </c>
      <c r="B355" t="s">
        <v>61</v>
      </c>
      <c r="P355">
        <v>60.19</v>
      </c>
      <c r="R355">
        <f t="shared" si="10"/>
        <v>0</v>
      </c>
      <c r="S355" s="3">
        <f t="shared" si="11"/>
        <v>0</v>
      </c>
    </row>
    <row r="356" spans="1:19" x14ac:dyDescent="0.3">
      <c r="A356" s="5">
        <v>44186</v>
      </c>
      <c r="B356" t="s">
        <v>61</v>
      </c>
      <c r="P356">
        <v>60.19</v>
      </c>
      <c r="R356">
        <f t="shared" si="10"/>
        <v>0</v>
      </c>
      <c r="S356" s="3">
        <f t="shared" si="11"/>
        <v>0</v>
      </c>
    </row>
    <row r="357" spans="1:19" x14ac:dyDescent="0.3">
      <c r="A357" s="5">
        <v>44187</v>
      </c>
      <c r="B357" t="s">
        <v>61</v>
      </c>
      <c r="P357">
        <v>60.19</v>
      </c>
      <c r="R357">
        <f t="shared" si="10"/>
        <v>0</v>
      </c>
      <c r="S357" s="3">
        <f t="shared" si="11"/>
        <v>0</v>
      </c>
    </row>
    <row r="358" spans="1:19" x14ac:dyDescent="0.3">
      <c r="A358" s="5">
        <v>44188</v>
      </c>
      <c r="B358" t="s">
        <v>61</v>
      </c>
      <c r="P358">
        <v>60.19</v>
      </c>
      <c r="R358">
        <f t="shared" si="10"/>
        <v>0</v>
      </c>
      <c r="S358" s="3">
        <f t="shared" si="11"/>
        <v>0</v>
      </c>
    </row>
    <row r="359" spans="1:19" x14ac:dyDescent="0.3">
      <c r="A359" s="5">
        <v>44189</v>
      </c>
      <c r="B359" t="s">
        <v>61</v>
      </c>
      <c r="P359">
        <v>60.19</v>
      </c>
      <c r="R359">
        <f t="shared" si="10"/>
        <v>0</v>
      </c>
      <c r="S359" s="3">
        <f t="shared" si="11"/>
        <v>0</v>
      </c>
    </row>
    <row r="360" spans="1:19" x14ac:dyDescent="0.3">
      <c r="A360" s="5">
        <v>44190</v>
      </c>
      <c r="B360" t="s">
        <v>61</v>
      </c>
      <c r="P360">
        <v>60.19</v>
      </c>
      <c r="R360">
        <f t="shared" si="10"/>
        <v>0</v>
      </c>
      <c r="S360" s="3">
        <f t="shared" si="11"/>
        <v>0</v>
      </c>
    </row>
    <row r="361" spans="1:19" x14ac:dyDescent="0.3">
      <c r="A361" s="5">
        <v>44191</v>
      </c>
      <c r="B361" t="s">
        <v>61</v>
      </c>
      <c r="P361">
        <v>60.19</v>
      </c>
      <c r="R361">
        <f t="shared" si="10"/>
        <v>0</v>
      </c>
      <c r="S361" s="3">
        <f t="shared" si="11"/>
        <v>0</v>
      </c>
    </row>
    <row r="362" spans="1:19" x14ac:dyDescent="0.3">
      <c r="A362" s="5">
        <v>44192</v>
      </c>
      <c r="B362" t="s">
        <v>61</v>
      </c>
      <c r="P362">
        <v>60.19</v>
      </c>
      <c r="R362">
        <f t="shared" si="10"/>
        <v>0</v>
      </c>
      <c r="S362" s="3">
        <f t="shared" si="11"/>
        <v>0</v>
      </c>
    </row>
    <row r="363" spans="1:19" x14ac:dyDescent="0.3">
      <c r="A363" s="5">
        <v>44193</v>
      </c>
      <c r="B363" t="s">
        <v>61</v>
      </c>
      <c r="P363">
        <v>60.19</v>
      </c>
      <c r="R363">
        <f t="shared" si="10"/>
        <v>0</v>
      </c>
      <c r="S363" s="3">
        <f t="shared" si="11"/>
        <v>0</v>
      </c>
    </row>
    <row r="364" spans="1:19" x14ac:dyDescent="0.3">
      <c r="A364" s="5">
        <v>44194</v>
      </c>
      <c r="B364" t="s">
        <v>61</v>
      </c>
      <c r="P364">
        <v>60.19</v>
      </c>
      <c r="R364">
        <f t="shared" si="10"/>
        <v>0</v>
      </c>
      <c r="S364" s="3">
        <f t="shared" si="11"/>
        <v>0</v>
      </c>
    </row>
    <row r="365" spans="1:19" x14ac:dyDescent="0.3">
      <c r="A365" s="5">
        <v>44195</v>
      </c>
      <c r="B365" t="s">
        <v>61</v>
      </c>
      <c r="P365">
        <v>60.19</v>
      </c>
      <c r="R365">
        <f t="shared" si="10"/>
        <v>0</v>
      </c>
      <c r="S365" s="3">
        <f t="shared" si="11"/>
        <v>0</v>
      </c>
    </row>
    <row r="366" spans="1:19" x14ac:dyDescent="0.3">
      <c r="A366" s="5">
        <v>44196</v>
      </c>
      <c r="B366" t="s">
        <v>61</v>
      </c>
      <c r="P366">
        <v>60.19</v>
      </c>
      <c r="R366">
        <f t="shared" si="10"/>
        <v>0</v>
      </c>
      <c r="S366" s="3">
        <f t="shared" si="11"/>
        <v>0</v>
      </c>
    </row>
    <row r="367" spans="1:19" x14ac:dyDescent="0.3">
      <c r="A367" s="5">
        <v>44197</v>
      </c>
      <c r="B367" t="s">
        <v>61</v>
      </c>
      <c r="P367">
        <v>60.19</v>
      </c>
      <c r="R367">
        <f t="shared" si="10"/>
        <v>0</v>
      </c>
      <c r="S367" s="3">
        <f t="shared" si="11"/>
        <v>0</v>
      </c>
    </row>
    <row r="368" spans="1:19" x14ac:dyDescent="0.3">
      <c r="A368" s="5">
        <v>44198</v>
      </c>
      <c r="B368" t="s">
        <v>61</v>
      </c>
      <c r="P368">
        <v>60.19</v>
      </c>
      <c r="R368">
        <f t="shared" si="10"/>
        <v>0</v>
      </c>
      <c r="S368" s="3">
        <f t="shared" si="11"/>
        <v>0</v>
      </c>
    </row>
    <row r="369" spans="1:19" x14ac:dyDescent="0.3">
      <c r="A369" s="5">
        <v>44199</v>
      </c>
      <c r="B369" t="s">
        <v>61</v>
      </c>
      <c r="P369">
        <v>60.19</v>
      </c>
      <c r="R369">
        <f t="shared" si="10"/>
        <v>0</v>
      </c>
      <c r="S369" s="3">
        <f t="shared" si="11"/>
        <v>0</v>
      </c>
    </row>
    <row r="370" spans="1:19" x14ac:dyDescent="0.3">
      <c r="A370" s="5">
        <v>44200</v>
      </c>
      <c r="B370" t="s">
        <v>61</v>
      </c>
      <c r="P370">
        <v>60.19</v>
      </c>
      <c r="R370">
        <f t="shared" si="10"/>
        <v>0</v>
      </c>
      <c r="S370" s="3">
        <f t="shared" si="11"/>
        <v>0</v>
      </c>
    </row>
    <row r="371" spans="1:19" x14ac:dyDescent="0.3">
      <c r="A371" s="5">
        <v>44201</v>
      </c>
      <c r="B371" t="s">
        <v>61</v>
      </c>
      <c r="P371">
        <v>60.19</v>
      </c>
      <c r="R371">
        <f t="shared" si="10"/>
        <v>0</v>
      </c>
      <c r="S371" s="3">
        <f t="shared" si="11"/>
        <v>0</v>
      </c>
    </row>
    <row r="372" spans="1:19" x14ac:dyDescent="0.3">
      <c r="A372" s="5">
        <v>44202</v>
      </c>
      <c r="B372" t="s">
        <v>61</v>
      </c>
      <c r="P372">
        <v>60.19</v>
      </c>
      <c r="R372">
        <f t="shared" si="10"/>
        <v>0</v>
      </c>
      <c r="S372" s="3">
        <f t="shared" si="11"/>
        <v>0</v>
      </c>
    </row>
    <row r="373" spans="1:19" x14ac:dyDescent="0.3">
      <c r="A373" s="5">
        <v>44203</v>
      </c>
      <c r="B373" t="s">
        <v>61</v>
      </c>
      <c r="P373">
        <v>60.19</v>
      </c>
      <c r="R373">
        <f t="shared" si="10"/>
        <v>0</v>
      </c>
      <c r="S373" s="3">
        <f t="shared" si="11"/>
        <v>0</v>
      </c>
    </row>
    <row r="374" spans="1:19" x14ac:dyDescent="0.3">
      <c r="A374" s="5">
        <v>44204</v>
      </c>
      <c r="B374" t="s">
        <v>61</v>
      </c>
      <c r="P374">
        <v>60.19</v>
      </c>
      <c r="R374">
        <f t="shared" si="10"/>
        <v>0</v>
      </c>
      <c r="S374" s="3">
        <f t="shared" si="11"/>
        <v>0</v>
      </c>
    </row>
    <row r="375" spans="1:19" x14ac:dyDescent="0.3">
      <c r="A375" s="5">
        <v>44205</v>
      </c>
      <c r="B375" t="s">
        <v>61</v>
      </c>
      <c r="P375">
        <v>60.19</v>
      </c>
      <c r="R375">
        <f t="shared" si="10"/>
        <v>0</v>
      </c>
      <c r="S375" s="3">
        <f t="shared" si="11"/>
        <v>0</v>
      </c>
    </row>
    <row r="376" spans="1:19" x14ac:dyDescent="0.3">
      <c r="A376" s="5">
        <v>44206</v>
      </c>
      <c r="B376" t="s">
        <v>61</v>
      </c>
      <c r="P376">
        <v>60.19</v>
      </c>
      <c r="R376">
        <f t="shared" si="10"/>
        <v>0</v>
      </c>
      <c r="S376" s="3">
        <f t="shared" si="11"/>
        <v>0</v>
      </c>
    </row>
    <row r="377" spans="1:19" x14ac:dyDescent="0.3">
      <c r="A377" s="5">
        <v>44207</v>
      </c>
      <c r="B377" t="s">
        <v>61</v>
      </c>
      <c r="P377">
        <v>60.19</v>
      </c>
      <c r="R377">
        <f t="shared" si="10"/>
        <v>0</v>
      </c>
      <c r="S377" s="3">
        <f t="shared" si="11"/>
        <v>0</v>
      </c>
    </row>
    <row r="378" spans="1:19" x14ac:dyDescent="0.3">
      <c r="A378" s="5">
        <v>44208</v>
      </c>
      <c r="B378" t="s">
        <v>61</v>
      </c>
      <c r="P378">
        <v>60.19</v>
      </c>
      <c r="R378">
        <f t="shared" si="10"/>
        <v>0</v>
      </c>
      <c r="S378" s="3">
        <f t="shared" si="11"/>
        <v>0</v>
      </c>
    </row>
    <row r="379" spans="1:19" x14ac:dyDescent="0.3">
      <c r="A379" s="5">
        <v>44209</v>
      </c>
      <c r="B379" t="s">
        <v>61</v>
      </c>
      <c r="P379">
        <v>60.19</v>
      </c>
      <c r="R379">
        <f t="shared" si="10"/>
        <v>0</v>
      </c>
      <c r="S379" s="3">
        <f t="shared" si="11"/>
        <v>0</v>
      </c>
    </row>
    <row r="380" spans="1:19" x14ac:dyDescent="0.3">
      <c r="A380" s="5">
        <v>44210</v>
      </c>
      <c r="B380" t="s">
        <v>61</v>
      </c>
      <c r="P380">
        <v>60.19</v>
      </c>
      <c r="R380">
        <f t="shared" si="10"/>
        <v>0</v>
      </c>
      <c r="S380" s="3">
        <f t="shared" si="11"/>
        <v>0</v>
      </c>
    </row>
    <row r="381" spans="1:19" x14ac:dyDescent="0.3">
      <c r="A381" s="5">
        <v>44211</v>
      </c>
      <c r="B381" t="s">
        <v>61</v>
      </c>
      <c r="P381">
        <v>60.19</v>
      </c>
      <c r="R381">
        <f t="shared" si="10"/>
        <v>0</v>
      </c>
      <c r="S381" s="3">
        <f t="shared" si="11"/>
        <v>0</v>
      </c>
    </row>
    <row r="382" spans="1:19" x14ac:dyDescent="0.3">
      <c r="A382" s="5">
        <v>44212</v>
      </c>
      <c r="B382" t="s">
        <v>61</v>
      </c>
      <c r="P382">
        <v>60.19</v>
      </c>
      <c r="R382">
        <f t="shared" si="10"/>
        <v>0</v>
      </c>
      <c r="S382" s="3">
        <f t="shared" si="11"/>
        <v>0</v>
      </c>
    </row>
    <row r="383" spans="1:19" x14ac:dyDescent="0.3">
      <c r="A383" s="5">
        <v>44213</v>
      </c>
      <c r="B383" t="s">
        <v>61</v>
      </c>
      <c r="P383">
        <v>60.19</v>
      </c>
      <c r="R383">
        <f t="shared" si="10"/>
        <v>0</v>
      </c>
      <c r="S383" s="3">
        <f t="shared" si="11"/>
        <v>0</v>
      </c>
    </row>
    <row r="384" spans="1:19" x14ac:dyDescent="0.3">
      <c r="A384" s="5">
        <v>44214</v>
      </c>
      <c r="B384" t="s">
        <v>61</v>
      </c>
      <c r="P384">
        <v>60.19</v>
      </c>
      <c r="R384">
        <f t="shared" si="10"/>
        <v>0</v>
      </c>
      <c r="S384" s="3">
        <f t="shared" si="11"/>
        <v>0</v>
      </c>
    </row>
    <row r="385" spans="1:19" x14ac:dyDescent="0.3">
      <c r="A385" s="5">
        <v>44215</v>
      </c>
      <c r="B385" t="s">
        <v>61</v>
      </c>
      <c r="P385">
        <v>60.19</v>
      </c>
      <c r="R385">
        <f t="shared" si="10"/>
        <v>0</v>
      </c>
      <c r="S385" s="3">
        <f t="shared" si="11"/>
        <v>0</v>
      </c>
    </row>
    <row r="386" spans="1:19" x14ac:dyDescent="0.3">
      <c r="A386" s="5">
        <v>44216</v>
      </c>
      <c r="B386" t="s">
        <v>61</v>
      </c>
      <c r="P386">
        <v>57.41</v>
      </c>
      <c r="R386">
        <f t="shared" si="10"/>
        <v>0</v>
      </c>
      <c r="S386" s="3">
        <f t="shared" si="11"/>
        <v>0</v>
      </c>
    </row>
    <row r="387" spans="1:19" x14ac:dyDescent="0.3">
      <c r="A387" s="5">
        <v>44217</v>
      </c>
      <c r="B387" t="s">
        <v>61</v>
      </c>
      <c r="P387">
        <v>57.41</v>
      </c>
      <c r="R387">
        <f t="shared" si="10"/>
        <v>0</v>
      </c>
      <c r="S387" s="3">
        <f t="shared" si="11"/>
        <v>0</v>
      </c>
    </row>
    <row r="388" spans="1:19" x14ac:dyDescent="0.3">
      <c r="A388" s="5">
        <v>44218</v>
      </c>
      <c r="B388" t="s">
        <v>61</v>
      </c>
      <c r="P388">
        <v>57.41</v>
      </c>
      <c r="R388">
        <f t="shared" si="10"/>
        <v>0</v>
      </c>
      <c r="S388" s="3">
        <f t="shared" si="11"/>
        <v>0</v>
      </c>
    </row>
    <row r="389" spans="1:19" x14ac:dyDescent="0.3">
      <c r="A389" s="5">
        <v>44219</v>
      </c>
      <c r="B389" t="s">
        <v>61</v>
      </c>
      <c r="P389">
        <v>57.41</v>
      </c>
      <c r="R389">
        <f t="shared" si="10"/>
        <v>0</v>
      </c>
      <c r="S389" s="3">
        <f t="shared" si="11"/>
        <v>0</v>
      </c>
    </row>
    <row r="390" spans="1:19" x14ac:dyDescent="0.3">
      <c r="A390" s="5">
        <v>44220</v>
      </c>
      <c r="B390" t="s">
        <v>61</v>
      </c>
      <c r="P390">
        <v>57.41</v>
      </c>
      <c r="R390">
        <f t="shared" ref="R390:R453" si="12">J390-K390</f>
        <v>0</v>
      </c>
      <c r="S390" s="3">
        <f t="shared" ref="S390:S453" si="13">MIN(1, (0.5*MAX(R390,0) + 1*K390)/100 )</f>
        <v>0</v>
      </c>
    </row>
    <row r="391" spans="1:19" x14ac:dyDescent="0.3">
      <c r="A391" s="5">
        <v>44221</v>
      </c>
      <c r="B391" t="s">
        <v>61</v>
      </c>
      <c r="P391">
        <v>57.41</v>
      </c>
      <c r="R391">
        <f t="shared" si="12"/>
        <v>0</v>
      </c>
      <c r="S391" s="3">
        <f t="shared" si="13"/>
        <v>0</v>
      </c>
    </row>
    <row r="392" spans="1:19" x14ac:dyDescent="0.3">
      <c r="A392" s="5">
        <v>44222</v>
      </c>
      <c r="B392" t="s">
        <v>61</v>
      </c>
      <c r="C392">
        <v>0</v>
      </c>
      <c r="I392">
        <v>0</v>
      </c>
      <c r="P392">
        <v>57.41</v>
      </c>
      <c r="R392">
        <f t="shared" si="12"/>
        <v>0</v>
      </c>
      <c r="S392" s="3">
        <f t="shared" si="13"/>
        <v>0</v>
      </c>
    </row>
    <row r="393" spans="1:19" x14ac:dyDescent="0.3">
      <c r="A393" s="5">
        <v>44223</v>
      </c>
      <c r="B393" t="s">
        <v>61</v>
      </c>
      <c r="H393">
        <v>18862</v>
      </c>
      <c r="M393">
        <v>617</v>
      </c>
      <c r="P393">
        <v>57.41</v>
      </c>
      <c r="R393">
        <f t="shared" si="12"/>
        <v>0</v>
      </c>
      <c r="S393" s="3">
        <f t="shared" si="13"/>
        <v>0</v>
      </c>
    </row>
    <row r="394" spans="1:19" x14ac:dyDescent="0.3">
      <c r="A394" s="5">
        <v>44224</v>
      </c>
      <c r="B394" t="s">
        <v>61</v>
      </c>
      <c r="H394">
        <v>18862</v>
      </c>
      <c r="M394">
        <v>617</v>
      </c>
      <c r="P394">
        <v>57.41</v>
      </c>
      <c r="R394">
        <f t="shared" si="12"/>
        <v>0</v>
      </c>
      <c r="S394" s="3">
        <f t="shared" si="13"/>
        <v>0</v>
      </c>
    </row>
    <row r="395" spans="1:19" x14ac:dyDescent="0.3">
      <c r="A395" s="5">
        <v>44225</v>
      </c>
      <c r="B395" t="s">
        <v>61</v>
      </c>
      <c r="H395">
        <v>18862</v>
      </c>
      <c r="M395">
        <v>617</v>
      </c>
      <c r="P395">
        <v>57.41</v>
      </c>
      <c r="R395">
        <f t="shared" si="12"/>
        <v>0</v>
      </c>
      <c r="S395" s="3">
        <f t="shared" si="13"/>
        <v>0</v>
      </c>
    </row>
    <row r="396" spans="1:19" x14ac:dyDescent="0.3">
      <c r="A396" s="5">
        <v>44226</v>
      </c>
      <c r="B396" t="s">
        <v>61</v>
      </c>
      <c r="H396">
        <v>18862</v>
      </c>
      <c r="M396">
        <v>617</v>
      </c>
      <c r="P396">
        <v>57.41</v>
      </c>
      <c r="R396">
        <f t="shared" si="12"/>
        <v>0</v>
      </c>
      <c r="S396" s="3">
        <f t="shared" si="13"/>
        <v>0</v>
      </c>
    </row>
    <row r="397" spans="1:19" x14ac:dyDescent="0.3">
      <c r="A397" s="5">
        <v>44227</v>
      </c>
      <c r="B397" t="s">
        <v>61</v>
      </c>
      <c r="H397">
        <v>18862</v>
      </c>
      <c r="M397">
        <v>617</v>
      </c>
      <c r="P397">
        <v>57.41</v>
      </c>
      <c r="R397">
        <f t="shared" si="12"/>
        <v>0</v>
      </c>
      <c r="S397" s="3">
        <f t="shared" si="13"/>
        <v>0</v>
      </c>
    </row>
    <row r="398" spans="1:19" x14ac:dyDescent="0.3">
      <c r="A398" s="5">
        <v>44228</v>
      </c>
      <c r="B398" t="s">
        <v>61</v>
      </c>
      <c r="C398">
        <v>113175</v>
      </c>
      <c r="D398">
        <v>113175</v>
      </c>
      <c r="H398">
        <v>18862</v>
      </c>
      <c r="I398">
        <v>0.37</v>
      </c>
      <c r="J398">
        <v>0.37</v>
      </c>
      <c r="M398">
        <v>617</v>
      </c>
      <c r="P398">
        <v>57.41</v>
      </c>
      <c r="R398">
        <f t="shared" si="12"/>
        <v>0.37</v>
      </c>
      <c r="S398" s="3">
        <f t="shared" si="13"/>
        <v>1.8500000000000001E-3</v>
      </c>
    </row>
    <row r="399" spans="1:19" x14ac:dyDescent="0.3">
      <c r="A399" s="5">
        <v>44229</v>
      </c>
      <c r="B399" t="s">
        <v>61</v>
      </c>
      <c r="H399">
        <v>18326</v>
      </c>
      <c r="M399">
        <v>600</v>
      </c>
      <c r="N399">
        <v>15104</v>
      </c>
      <c r="O399">
        <v>4.9000000000000002E-2</v>
      </c>
      <c r="P399">
        <v>57.41</v>
      </c>
      <c r="R399">
        <f t="shared" si="12"/>
        <v>0</v>
      </c>
      <c r="S399" s="3">
        <f t="shared" si="13"/>
        <v>0</v>
      </c>
    </row>
    <row r="400" spans="1:19" x14ac:dyDescent="0.3">
      <c r="A400" s="5">
        <v>44230</v>
      </c>
      <c r="B400" t="s">
        <v>61</v>
      </c>
      <c r="H400">
        <v>17789</v>
      </c>
      <c r="M400">
        <v>582</v>
      </c>
      <c r="N400">
        <v>15104</v>
      </c>
      <c r="O400">
        <v>4.9000000000000002E-2</v>
      </c>
      <c r="P400">
        <v>57.41</v>
      </c>
      <c r="R400">
        <f t="shared" si="12"/>
        <v>0</v>
      </c>
      <c r="S400" s="3">
        <f t="shared" si="13"/>
        <v>0</v>
      </c>
    </row>
    <row r="401" spans="1:19" x14ac:dyDescent="0.3">
      <c r="A401" s="5">
        <v>44231</v>
      </c>
      <c r="B401" t="s">
        <v>61</v>
      </c>
      <c r="C401">
        <v>158487</v>
      </c>
      <c r="D401">
        <v>158487</v>
      </c>
      <c r="H401">
        <v>17252</v>
      </c>
      <c r="I401">
        <v>0.52</v>
      </c>
      <c r="J401">
        <v>0.52</v>
      </c>
      <c r="M401">
        <v>565</v>
      </c>
      <c r="N401">
        <v>15104</v>
      </c>
      <c r="O401">
        <v>4.9000000000000002E-2</v>
      </c>
      <c r="P401">
        <v>57.41</v>
      </c>
      <c r="R401">
        <f t="shared" si="12"/>
        <v>0.52</v>
      </c>
      <c r="S401" s="3">
        <f t="shared" si="13"/>
        <v>2.5999999999999999E-3</v>
      </c>
    </row>
    <row r="402" spans="1:19" x14ac:dyDescent="0.3">
      <c r="A402" s="5">
        <v>44232</v>
      </c>
      <c r="B402" t="s">
        <v>61</v>
      </c>
      <c r="H402">
        <v>16734</v>
      </c>
      <c r="M402">
        <v>548</v>
      </c>
      <c r="N402">
        <v>15137</v>
      </c>
      <c r="O402">
        <v>0.05</v>
      </c>
      <c r="P402">
        <v>57.41</v>
      </c>
      <c r="R402">
        <f t="shared" si="12"/>
        <v>0</v>
      </c>
      <c r="S402" s="3">
        <f t="shared" si="13"/>
        <v>0</v>
      </c>
    </row>
    <row r="403" spans="1:19" x14ac:dyDescent="0.3">
      <c r="A403" s="5">
        <v>44233</v>
      </c>
      <c r="B403" t="s">
        <v>61</v>
      </c>
      <c r="H403">
        <v>16216</v>
      </c>
      <c r="M403">
        <v>531</v>
      </c>
      <c r="N403">
        <v>15157</v>
      </c>
      <c r="O403">
        <v>0.05</v>
      </c>
      <c r="P403">
        <v>57.41</v>
      </c>
      <c r="R403">
        <f t="shared" si="12"/>
        <v>0</v>
      </c>
      <c r="S403" s="3">
        <f t="shared" si="13"/>
        <v>0</v>
      </c>
    </row>
    <row r="404" spans="1:19" x14ac:dyDescent="0.3">
      <c r="A404" s="5">
        <v>44234</v>
      </c>
      <c r="B404" t="s">
        <v>61</v>
      </c>
      <c r="H404">
        <v>15698</v>
      </c>
      <c r="M404">
        <v>514</v>
      </c>
      <c r="N404">
        <v>15170</v>
      </c>
      <c r="O404">
        <v>0.05</v>
      </c>
      <c r="P404">
        <v>57.41</v>
      </c>
      <c r="R404">
        <f t="shared" si="12"/>
        <v>0</v>
      </c>
      <c r="S404" s="3">
        <f t="shared" si="13"/>
        <v>0</v>
      </c>
    </row>
    <row r="405" spans="1:19" x14ac:dyDescent="0.3">
      <c r="A405" s="5">
        <v>44235</v>
      </c>
      <c r="B405" t="s">
        <v>61</v>
      </c>
      <c r="H405">
        <v>15179</v>
      </c>
      <c r="M405">
        <v>497</v>
      </c>
      <c r="N405">
        <v>15179</v>
      </c>
      <c r="O405">
        <v>0.05</v>
      </c>
      <c r="P405">
        <v>57.41</v>
      </c>
      <c r="R405">
        <f t="shared" si="12"/>
        <v>0</v>
      </c>
      <c r="S405" s="3">
        <f t="shared" si="13"/>
        <v>0</v>
      </c>
    </row>
    <row r="406" spans="1:19" x14ac:dyDescent="0.3">
      <c r="A406" s="5">
        <v>44236</v>
      </c>
      <c r="B406" t="s">
        <v>61</v>
      </c>
      <c r="H406">
        <v>15198</v>
      </c>
      <c r="M406">
        <v>498</v>
      </c>
      <c r="N406">
        <v>15198</v>
      </c>
      <c r="O406">
        <v>0.05</v>
      </c>
      <c r="P406">
        <v>57.41</v>
      </c>
      <c r="R406">
        <f t="shared" si="12"/>
        <v>0</v>
      </c>
      <c r="S406" s="3">
        <f t="shared" si="13"/>
        <v>0</v>
      </c>
    </row>
    <row r="407" spans="1:19" x14ac:dyDescent="0.3">
      <c r="A407" s="5">
        <v>44237</v>
      </c>
      <c r="B407" t="s">
        <v>61</v>
      </c>
      <c r="H407">
        <v>15217</v>
      </c>
      <c r="M407">
        <v>498</v>
      </c>
      <c r="N407">
        <v>15217</v>
      </c>
      <c r="O407">
        <v>0.05</v>
      </c>
      <c r="P407">
        <v>57.41</v>
      </c>
      <c r="R407">
        <f t="shared" si="12"/>
        <v>0</v>
      </c>
      <c r="S407" s="3">
        <f t="shared" si="13"/>
        <v>0</v>
      </c>
    </row>
    <row r="408" spans="1:19" x14ac:dyDescent="0.3">
      <c r="A408" s="5">
        <v>44238</v>
      </c>
      <c r="B408" t="s">
        <v>61</v>
      </c>
      <c r="H408">
        <v>15236</v>
      </c>
      <c r="M408">
        <v>499</v>
      </c>
      <c r="N408">
        <v>15236</v>
      </c>
      <c r="O408">
        <v>0.05</v>
      </c>
      <c r="P408">
        <v>52.78</v>
      </c>
      <c r="R408">
        <f t="shared" si="12"/>
        <v>0</v>
      </c>
      <c r="S408" s="3">
        <f t="shared" si="13"/>
        <v>0</v>
      </c>
    </row>
    <row r="409" spans="1:19" x14ac:dyDescent="0.3">
      <c r="A409" s="5">
        <v>44239</v>
      </c>
      <c r="B409" t="s">
        <v>61</v>
      </c>
      <c r="H409">
        <v>15236</v>
      </c>
      <c r="M409">
        <v>499</v>
      </c>
      <c r="N409">
        <v>15236</v>
      </c>
      <c r="O409">
        <v>0.05</v>
      </c>
      <c r="P409">
        <v>52.78</v>
      </c>
      <c r="R409">
        <f t="shared" si="12"/>
        <v>0</v>
      </c>
      <c r="S409" s="3">
        <f t="shared" si="13"/>
        <v>0</v>
      </c>
    </row>
    <row r="410" spans="1:19" x14ac:dyDescent="0.3">
      <c r="A410" s="5">
        <v>44240</v>
      </c>
      <c r="B410" t="s">
        <v>61</v>
      </c>
      <c r="H410">
        <v>15236</v>
      </c>
      <c r="M410">
        <v>499</v>
      </c>
      <c r="N410">
        <v>15236</v>
      </c>
      <c r="O410">
        <v>0.05</v>
      </c>
      <c r="P410">
        <v>52.78</v>
      </c>
      <c r="R410">
        <f t="shared" si="12"/>
        <v>0</v>
      </c>
      <c r="S410" s="3">
        <f t="shared" si="13"/>
        <v>0</v>
      </c>
    </row>
    <row r="411" spans="1:19" x14ac:dyDescent="0.3">
      <c r="A411" s="5">
        <v>44241</v>
      </c>
      <c r="B411" t="s">
        <v>61</v>
      </c>
      <c r="H411">
        <v>15236</v>
      </c>
      <c r="M411">
        <v>499</v>
      </c>
      <c r="N411">
        <v>15236</v>
      </c>
      <c r="O411">
        <v>0.05</v>
      </c>
      <c r="P411">
        <v>52.78</v>
      </c>
      <c r="R411">
        <f t="shared" si="12"/>
        <v>0</v>
      </c>
      <c r="S411" s="3">
        <f t="shared" si="13"/>
        <v>0</v>
      </c>
    </row>
    <row r="412" spans="1:19" x14ac:dyDescent="0.3">
      <c r="A412" s="5">
        <v>44242</v>
      </c>
      <c r="B412" t="s">
        <v>61</v>
      </c>
      <c r="H412">
        <v>15236</v>
      </c>
      <c r="M412">
        <v>499</v>
      </c>
      <c r="N412">
        <v>15236</v>
      </c>
      <c r="O412">
        <v>0.05</v>
      </c>
      <c r="P412">
        <v>52.78</v>
      </c>
      <c r="R412">
        <f t="shared" si="12"/>
        <v>0</v>
      </c>
      <c r="S412" s="3">
        <f t="shared" si="13"/>
        <v>0</v>
      </c>
    </row>
    <row r="413" spans="1:19" x14ac:dyDescent="0.3">
      <c r="A413" s="5">
        <v>44243</v>
      </c>
      <c r="B413" t="s">
        <v>61</v>
      </c>
      <c r="H413">
        <v>15236</v>
      </c>
      <c r="M413">
        <v>499</v>
      </c>
      <c r="N413">
        <v>15236</v>
      </c>
      <c r="O413">
        <v>0.05</v>
      </c>
      <c r="P413">
        <v>52.78</v>
      </c>
      <c r="R413">
        <f t="shared" si="12"/>
        <v>0</v>
      </c>
      <c r="S413" s="3">
        <f t="shared" si="13"/>
        <v>0</v>
      </c>
    </row>
    <row r="414" spans="1:19" x14ac:dyDescent="0.3">
      <c r="A414" s="5">
        <v>44244</v>
      </c>
      <c r="B414" t="s">
        <v>61</v>
      </c>
      <c r="H414">
        <v>15236</v>
      </c>
      <c r="M414">
        <v>499</v>
      </c>
      <c r="N414">
        <v>15236</v>
      </c>
      <c r="O414">
        <v>0.05</v>
      </c>
      <c r="P414">
        <v>52.78</v>
      </c>
      <c r="R414">
        <f t="shared" si="12"/>
        <v>0</v>
      </c>
      <c r="S414" s="3">
        <f t="shared" si="13"/>
        <v>0</v>
      </c>
    </row>
    <row r="415" spans="1:19" x14ac:dyDescent="0.3">
      <c r="A415" s="5">
        <v>44245</v>
      </c>
      <c r="B415" t="s">
        <v>61</v>
      </c>
      <c r="H415">
        <v>15236</v>
      </c>
      <c r="M415">
        <v>499</v>
      </c>
      <c r="N415">
        <v>15236</v>
      </c>
      <c r="O415">
        <v>0.05</v>
      </c>
      <c r="P415">
        <v>52.78</v>
      </c>
      <c r="R415">
        <f t="shared" si="12"/>
        <v>0</v>
      </c>
      <c r="S415" s="3">
        <f t="shared" si="13"/>
        <v>0</v>
      </c>
    </row>
    <row r="416" spans="1:19" x14ac:dyDescent="0.3">
      <c r="A416" s="5">
        <v>44246</v>
      </c>
      <c r="B416" t="s">
        <v>61</v>
      </c>
      <c r="H416">
        <v>15236</v>
      </c>
      <c r="M416">
        <v>499</v>
      </c>
      <c r="N416">
        <v>15236</v>
      </c>
      <c r="O416">
        <v>0.05</v>
      </c>
      <c r="P416">
        <v>52.78</v>
      </c>
      <c r="R416">
        <f t="shared" si="12"/>
        <v>0</v>
      </c>
      <c r="S416" s="3">
        <f t="shared" si="13"/>
        <v>0</v>
      </c>
    </row>
    <row r="417" spans="1:19" x14ac:dyDescent="0.3">
      <c r="A417" s="5">
        <v>44247</v>
      </c>
      <c r="B417" t="s">
        <v>61</v>
      </c>
      <c r="C417">
        <v>402264</v>
      </c>
      <c r="D417">
        <v>402264</v>
      </c>
      <c r="H417">
        <v>15236</v>
      </c>
      <c r="I417">
        <v>1.32</v>
      </c>
      <c r="J417">
        <v>1.32</v>
      </c>
      <c r="M417">
        <v>499</v>
      </c>
      <c r="N417">
        <v>15236</v>
      </c>
      <c r="O417">
        <v>0.05</v>
      </c>
      <c r="P417">
        <v>52.78</v>
      </c>
      <c r="R417">
        <f t="shared" si="12"/>
        <v>1.32</v>
      </c>
      <c r="S417" s="3">
        <f t="shared" si="13"/>
        <v>6.6E-3</v>
      </c>
    </row>
    <row r="418" spans="1:19" x14ac:dyDescent="0.3">
      <c r="A418" s="5">
        <v>44248</v>
      </c>
      <c r="B418" t="s">
        <v>61</v>
      </c>
      <c r="H418">
        <v>19397</v>
      </c>
      <c r="M418">
        <v>635</v>
      </c>
      <c r="N418">
        <v>19397</v>
      </c>
      <c r="O418">
        <v>6.3E-2</v>
      </c>
      <c r="P418">
        <v>52.78</v>
      </c>
      <c r="R418">
        <f t="shared" si="12"/>
        <v>0</v>
      </c>
      <c r="S418" s="3">
        <f t="shared" si="13"/>
        <v>0</v>
      </c>
    </row>
    <row r="419" spans="1:19" x14ac:dyDescent="0.3">
      <c r="A419" s="5">
        <v>44249</v>
      </c>
      <c r="B419" t="s">
        <v>61</v>
      </c>
      <c r="H419">
        <v>23557</v>
      </c>
      <c r="M419">
        <v>771</v>
      </c>
      <c r="N419">
        <v>23557</v>
      </c>
      <c r="O419">
        <v>7.6999999999999999E-2</v>
      </c>
      <c r="P419">
        <v>52.78</v>
      </c>
      <c r="R419">
        <f t="shared" si="12"/>
        <v>0</v>
      </c>
      <c r="S419" s="3">
        <f t="shared" si="13"/>
        <v>0</v>
      </c>
    </row>
    <row r="420" spans="1:19" x14ac:dyDescent="0.3">
      <c r="A420" s="5">
        <v>44250</v>
      </c>
      <c r="B420" t="s">
        <v>61</v>
      </c>
      <c r="H420">
        <v>27718</v>
      </c>
      <c r="M420">
        <v>907</v>
      </c>
      <c r="N420">
        <v>27718</v>
      </c>
      <c r="O420">
        <v>9.0999999999999998E-2</v>
      </c>
      <c r="P420">
        <v>52.78</v>
      </c>
      <c r="R420">
        <f t="shared" si="12"/>
        <v>0</v>
      </c>
      <c r="S420" s="3">
        <f t="shared" si="13"/>
        <v>0</v>
      </c>
    </row>
    <row r="421" spans="1:19" x14ac:dyDescent="0.3">
      <c r="A421" s="5">
        <v>44251</v>
      </c>
      <c r="B421" t="s">
        <v>61</v>
      </c>
      <c r="H421">
        <v>31879</v>
      </c>
      <c r="M421">
        <v>1044</v>
      </c>
      <c r="N421">
        <v>31879</v>
      </c>
      <c r="O421">
        <v>0.104</v>
      </c>
      <c r="P421">
        <v>52.78</v>
      </c>
      <c r="R421">
        <f t="shared" si="12"/>
        <v>0</v>
      </c>
      <c r="S421" s="3">
        <f t="shared" si="13"/>
        <v>0</v>
      </c>
    </row>
    <row r="422" spans="1:19" x14ac:dyDescent="0.3">
      <c r="A422" s="5">
        <v>44252</v>
      </c>
      <c r="B422" t="s">
        <v>61</v>
      </c>
      <c r="H422">
        <v>36039</v>
      </c>
      <c r="M422">
        <v>1180</v>
      </c>
      <c r="N422">
        <v>36039</v>
      </c>
      <c r="O422">
        <v>0.11799999999999999</v>
      </c>
      <c r="P422">
        <v>52.78</v>
      </c>
      <c r="R422">
        <f t="shared" si="12"/>
        <v>0</v>
      </c>
      <c r="S422" s="3">
        <f t="shared" si="13"/>
        <v>0</v>
      </c>
    </row>
    <row r="423" spans="1:19" x14ac:dyDescent="0.3">
      <c r="A423" s="5">
        <v>44253</v>
      </c>
      <c r="B423" t="s">
        <v>61</v>
      </c>
      <c r="H423">
        <v>40200</v>
      </c>
      <c r="M423">
        <v>1316</v>
      </c>
      <c r="N423">
        <v>40200</v>
      </c>
      <c r="O423">
        <v>0.13200000000000001</v>
      </c>
      <c r="P423">
        <v>52.78</v>
      </c>
      <c r="R423">
        <f t="shared" si="12"/>
        <v>0</v>
      </c>
      <c r="S423" s="3">
        <f t="shared" si="13"/>
        <v>0</v>
      </c>
    </row>
    <row r="424" spans="1:19" x14ac:dyDescent="0.3">
      <c r="A424" s="5">
        <v>44254</v>
      </c>
      <c r="B424" t="s">
        <v>61</v>
      </c>
      <c r="H424">
        <v>44361</v>
      </c>
      <c r="M424">
        <v>1452</v>
      </c>
      <c r="N424">
        <v>44361</v>
      </c>
      <c r="O424">
        <v>0.14499999999999999</v>
      </c>
      <c r="P424">
        <v>52.78</v>
      </c>
      <c r="R424">
        <f t="shared" si="12"/>
        <v>0</v>
      </c>
      <c r="S424" s="3">
        <f t="shared" si="13"/>
        <v>0</v>
      </c>
    </row>
    <row r="425" spans="1:19" x14ac:dyDescent="0.3">
      <c r="A425" s="5">
        <v>44255</v>
      </c>
      <c r="B425" t="s">
        <v>61</v>
      </c>
      <c r="H425">
        <v>44361</v>
      </c>
      <c r="M425">
        <v>1452</v>
      </c>
      <c r="N425">
        <v>44361</v>
      </c>
      <c r="O425">
        <v>0.14499999999999999</v>
      </c>
      <c r="P425">
        <v>52.78</v>
      </c>
      <c r="R425">
        <f t="shared" si="12"/>
        <v>0</v>
      </c>
      <c r="S425" s="3">
        <f t="shared" si="13"/>
        <v>0</v>
      </c>
    </row>
    <row r="426" spans="1:19" x14ac:dyDescent="0.3">
      <c r="A426" s="5">
        <v>44256</v>
      </c>
      <c r="B426" t="s">
        <v>61</v>
      </c>
      <c r="H426">
        <v>44361</v>
      </c>
      <c r="M426">
        <v>1452</v>
      </c>
      <c r="N426">
        <v>44361</v>
      </c>
      <c r="O426">
        <v>0.14499999999999999</v>
      </c>
      <c r="P426">
        <v>52.78</v>
      </c>
      <c r="R426">
        <f t="shared" si="12"/>
        <v>0</v>
      </c>
      <c r="S426" s="3">
        <f t="shared" si="13"/>
        <v>0</v>
      </c>
    </row>
    <row r="427" spans="1:19" x14ac:dyDescent="0.3">
      <c r="A427" s="5">
        <v>44257</v>
      </c>
      <c r="B427" t="s">
        <v>61</v>
      </c>
      <c r="H427">
        <v>44361</v>
      </c>
      <c r="M427">
        <v>1452</v>
      </c>
      <c r="N427">
        <v>44361</v>
      </c>
      <c r="O427">
        <v>0.14499999999999999</v>
      </c>
      <c r="P427">
        <v>29.63</v>
      </c>
      <c r="R427">
        <f t="shared" si="12"/>
        <v>0</v>
      </c>
      <c r="S427" s="3">
        <f t="shared" si="13"/>
        <v>0</v>
      </c>
    </row>
    <row r="428" spans="1:19" x14ac:dyDescent="0.3">
      <c r="A428" s="5">
        <v>44258</v>
      </c>
      <c r="B428" t="s">
        <v>61</v>
      </c>
      <c r="H428">
        <v>44361</v>
      </c>
      <c r="M428">
        <v>1452</v>
      </c>
      <c r="N428">
        <v>44361</v>
      </c>
      <c r="O428">
        <v>0.14499999999999999</v>
      </c>
      <c r="P428">
        <v>29.63</v>
      </c>
      <c r="R428">
        <f t="shared" si="12"/>
        <v>0</v>
      </c>
      <c r="S428" s="3">
        <f t="shared" si="13"/>
        <v>0</v>
      </c>
    </row>
    <row r="429" spans="1:19" x14ac:dyDescent="0.3">
      <c r="A429" s="5">
        <v>44259</v>
      </c>
      <c r="B429" t="s">
        <v>61</v>
      </c>
      <c r="H429">
        <v>44361</v>
      </c>
      <c r="M429">
        <v>1452</v>
      </c>
      <c r="N429">
        <v>44361</v>
      </c>
      <c r="O429">
        <v>0.14499999999999999</v>
      </c>
      <c r="P429">
        <v>29.63</v>
      </c>
      <c r="R429">
        <f t="shared" si="12"/>
        <v>0</v>
      </c>
      <c r="S429" s="3">
        <f t="shared" si="13"/>
        <v>0</v>
      </c>
    </row>
    <row r="430" spans="1:19" x14ac:dyDescent="0.3">
      <c r="A430" s="5">
        <v>44260</v>
      </c>
      <c r="B430" t="s">
        <v>61</v>
      </c>
      <c r="H430">
        <v>44361</v>
      </c>
      <c r="M430">
        <v>1452</v>
      </c>
      <c r="N430">
        <v>44361</v>
      </c>
      <c r="O430">
        <v>0.14499999999999999</v>
      </c>
      <c r="P430">
        <v>29.63</v>
      </c>
      <c r="R430">
        <f t="shared" si="12"/>
        <v>0</v>
      </c>
      <c r="S430" s="3">
        <f t="shared" si="13"/>
        <v>0</v>
      </c>
    </row>
    <row r="431" spans="1:19" x14ac:dyDescent="0.3">
      <c r="A431" s="5">
        <v>44261</v>
      </c>
      <c r="B431" t="s">
        <v>61</v>
      </c>
      <c r="H431">
        <v>44361</v>
      </c>
      <c r="M431">
        <v>1452</v>
      </c>
      <c r="N431">
        <v>44361</v>
      </c>
      <c r="O431">
        <v>0.14499999999999999</v>
      </c>
      <c r="P431">
        <v>29.63</v>
      </c>
      <c r="R431">
        <f t="shared" si="12"/>
        <v>0</v>
      </c>
      <c r="S431" s="3">
        <f t="shared" si="13"/>
        <v>0</v>
      </c>
    </row>
    <row r="432" spans="1:19" x14ac:dyDescent="0.3">
      <c r="A432" s="5">
        <v>44262</v>
      </c>
      <c r="B432" t="s">
        <v>61</v>
      </c>
      <c r="H432">
        <v>44361</v>
      </c>
      <c r="M432">
        <v>1452</v>
      </c>
      <c r="N432">
        <v>44361</v>
      </c>
      <c r="O432">
        <v>0.14499999999999999</v>
      </c>
      <c r="P432">
        <v>29.63</v>
      </c>
      <c r="R432">
        <f t="shared" si="12"/>
        <v>0</v>
      </c>
      <c r="S432" s="3">
        <f t="shared" si="13"/>
        <v>0</v>
      </c>
    </row>
    <row r="433" spans="1:19" x14ac:dyDescent="0.3">
      <c r="A433" s="5">
        <v>44263</v>
      </c>
      <c r="B433" t="s">
        <v>61</v>
      </c>
      <c r="H433">
        <v>44361</v>
      </c>
      <c r="M433">
        <v>1452</v>
      </c>
      <c r="N433">
        <v>44361</v>
      </c>
      <c r="O433">
        <v>0.14499999999999999</v>
      </c>
      <c r="P433">
        <v>29.63</v>
      </c>
      <c r="R433">
        <f t="shared" si="12"/>
        <v>0</v>
      </c>
      <c r="S433" s="3">
        <f t="shared" si="13"/>
        <v>0</v>
      </c>
    </row>
    <row r="434" spans="1:19" x14ac:dyDescent="0.3">
      <c r="A434" s="5">
        <v>44264</v>
      </c>
      <c r="B434" t="s">
        <v>61</v>
      </c>
      <c r="H434">
        <v>44361</v>
      </c>
      <c r="M434">
        <v>1452</v>
      </c>
      <c r="N434">
        <v>44361</v>
      </c>
      <c r="O434">
        <v>0.14499999999999999</v>
      </c>
      <c r="P434">
        <v>29.63</v>
      </c>
      <c r="R434">
        <f t="shared" si="12"/>
        <v>0</v>
      </c>
      <c r="S434" s="3">
        <f t="shared" si="13"/>
        <v>0</v>
      </c>
    </row>
    <row r="435" spans="1:19" x14ac:dyDescent="0.3">
      <c r="A435" s="5">
        <v>44265</v>
      </c>
      <c r="B435" t="s">
        <v>61</v>
      </c>
      <c r="H435">
        <v>44361</v>
      </c>
      <c r="M435">
        <v>1452</v>
      </c>
      <c r="N435">
        <v>44361</v>
      </c>
      <c r="O435">
        <v>0.14499999999999999</v>
      </c>
      <c r="P435">
        <v>29.63</v>
      </c>
      <c r="R435">
        <f t="shared" si="12"/>
        <v>0</v>
      </c>
      <c r="S435" s="3">
        <f t="shared" si="13"/>
        <v>0</v>
      </c>
    </row>
    <row r="436" spans="1:19" x14ac:dyDescent="0.3">
      <c r="A436" s="5">
        <v>44266</v>
      </c>
      <c r="B436" t="s">
        <v>61</v>
      </c>
      <c r="H436">
        <v>44361</v>
      </c>
      <c r="M436">
        <v>1452</v>
      </c>
      <c r="N436">
        <v>44361</v>
      </c>
      <c r="O436">
        <v>0.14499999999999999</v>
      </c>
      <c r="P436">
        <v>29.63</v>
      </c>
      <c r="R436">
        <f t="shared" si="12"/>
        <v>0</v>
      </c>
      <c r="S436" s="3">
        <f t="shared" si="13"/>
        <v>0</v>
      </c>
    </row>
    <row r="437" spans="1:19" x14ac:dyDescent="0.3">
      <c r="A437" s="5">
        <v>44267</v>
      </c>
      <c r="B437" t="s">
        <v>61</v>
      </c>
      <c r="H437">
        <v>44361</v>
      </c>
      <c r="M437">
        <v>1452</v>
      </c>
      <c r="N437">
        <v>44361</v>
      </c>
      <c r="O437">
        <v>0.14499999999999999</v>
      </c>
      <c r="P437">
        <v>29.63</v>
      </c>
      <c r="R437">
        <f t="shared" si="12"/>
        <v>0</v>
      </c>
      <c r="S437" s="3">
        <f t="shared" si="13"/>
        <v>0</v>
      </c>
    </row>
    <row r="438" spans="1:19" x14ac:dyDescent="0.3">
      <c r="A438" s="5">
        <v>44268</v>
      </c>
      <c r="B438" t="s">
        <v>61</v>
      </c>
      <c r="H438">
        <v>44361</v>
      </c>
      <c r="M438">
        <v>1452</v>
      </c>
      <c r="N438">
        <v>44361</v>
      </c>
      <c r="O438">
        <v>0.14499999999999999</v>
      </c>
      <c r="P438">
        <v>29.63</v>
      </c>
      <c r="R438">
        <f t="shared" si="12"/>
        <v>0</v>
      </c>
      <c r="S438" s="3">
        <f t="shared" si="13"/>
        <v>0</v>
      </c>
    </row>
    <row r="439" spans="1:19" x14ac:dyDescent="0.3">
      <c r="A439" s="5">
        <v>44269</v>
      </c>
      <c r="B439" t="s">
        <v>61</v>
      </c>
      <c r="H439">
        <v>44361</v>
      </c>
      <c r="M439">
        <v>1452</v>
      </c>
      <c r="N439">
        <v>44361</v>
      </c>
      <c r="O439">
        <v>0.14499999999999999</v>
      </c>
      <c r="P439">
        <v>29.63</v>
      </c>
      <c r="R439">
        <f t="shared" si="12"/>
        <v>0</v>
      </c>
      <c r="S439" s="3">
        <f t="shared" si="13"/>
        <v>0</v>
      </c>
    </row>
    <row r="440" spans="1:19" x14ac:dyDescent="0.3">
      <c r="A440" s="5">
        <v>44270</v>
      </c>
      <c r="B440" t="s">
        <v>61</v>
      </c>
      <c r="H440">
        <v>44361</v>
      </c>
      <c r="M440">
        <v>1452</v>
      </c>
      <c r="N440">
        <v>44361</v>
      </c>
      <c r="O440">
        <v>0.14499999999999999</v>
      </c>
      <c r="P440">
        <v>29.63</v>
      </c>
      <c r="R440">
        <f t="shared" si="12"/>
        <v>0</v>
      </c>
      <c r="S440" s="3">
        <f t="shared" si="13"/>
        <v>0</v>
      </c>
    </row>
    <row r="441" spans="1:19" x14ac:dyDescent="0.3">
      <c r="A441" s="5">
        <v>44271</v>
      </c>
      <c r="B441" t="s">
        <v>61</v>
      </c>
      <c r="H441">
        <v>44361</v>
      </c>
      <c r="M441">
        <v>1452</v>
      </c>
      <c r="N441">
        <v>44361</v>
      </c>
      <c r="O441">
        <v>0.14499999999999999</v>
      </c>
      <c r="P441">
        <v>29.63</v>
      </c>
      <c r="R441">
        <f t="shared" si="12"/>
        <v>0</v>
      </c>
      <c r="S441" s="3">
        <f t="shared" si="13"/>
        <v>0</v>
      </c>
    </row>
    <row r="442" spans="1:19" x14ac:dyDescent="0.3">
      <c r="A442" s="5">
        <v>44272</v>
      </c>
      <c r="B442" t="s">
        <v>61</v>
      </c>
      <c r="H442">
        <v>44361</v>
      </c>
      <c r="M442">
        <v>1452</v>
      </c>
      <c r="N442">
        <v>44361</v>
      </c>
      <c r="O442">
        <v>0.14499999999999999</v>
      </c>
      <c r="P442">
        <v>29.63</v>
      </c>
      <c r="R442">
        <f t="shared" si="12"/>
        <v>0</v>
      </c>
      <c r="S442" s="3">
        <f t="shared" si="13"/>
        <v>0</v>
      </c>
    </row>
    <row r="443" spans="1:19" x14ac:dyDescent="0.3">
      <c r="A443" s="5">
        <v>44273</v>
      </c>
      <c r="B443" t="s">
        <v>61</v>
      </c>
      <c r="H443">
        <v>44361</v>
      </c>
      <c r="M443">
        <v>1452</v>
      </c>
      <c r="N443">
        <v>44361</v>
      </c>
      <c r="O443">
        <v>0.14499999999999999</v>
      </c>
      <c r="P443">
        <v>29.63</v>
      </c>
      <c r="R443">
        <f t="shared" si="12"/>
        <v>0</v>
      </c>
      <c r="S443" s="3">
        <f t="shared" si="13"/>
        <v>0</v>
      </c>
    </row>
    <row r="444" spans="1:19" x14ac:dyDescent="0.3">
      <c r="A444" s="5">
        <v>44274</v>
      </c>
      <c r="B444" t="s">
        <v>61</v>
      </c>
      <c r="C444">
        <v>1600000</v>
      </c>
      <c r="D444">
        <v>1600000</v>
      </c>
      <c r="H444">
        <v>44361</v>
      </c>
      <c r="I444">
        <v>5.24</v>
      </c>
      <c r="J444">
        <v>5.24</v>
      </c>
      <c r="M444">
        <v>1452</v>
      </c>
      <c r="N444">
        <v>44361</v>
      </c>
      <c r="O444">
        <v>0.14499999999999999</v>
      </c>
      <c r="P444">
        <v>29.63</v>
      </c>
      <c r="R444">
        <f t="shared" si="12"/>
        <v>5.24</v>
      </c>
      <c r="S444" s="3">
        <f t="shared" si="13"/>
        <v>2.6200000000000001E-2</v>
      </c>
    </row>
    <row r="445" spans="1:19" x14ac:dyDescent="0.3">
      <c r="A445" s="5">
        <v>44275</v>
      </c>
      <c r="B445" t="s">
        <v>61</v>
      </c>
      <c r="H445">
        <v>38864</v>
      </c>
      <c r="M445">
        <v>1272</v>
      </c>
      <c r="N445">
        <v>38864</v>
      </c>
      <c r="O445">
        <v>0.127</v>
      </c>
      <c r="P445">
        <v>29.63</v>
      </c>
      <c r="R445">
        <f t="shared" si="12"/>
        <v>0</v>
      </c>
      <c r="S445" s="3">
        <f t="shared" si="13"/>
        <v>0</v>
      </c>
    </row>
    <row r="446" spans="1:19" x14ac:dyDescent="0.3">
      <c r="A446" s="5">
        <v>44276</v>
      </c>
      <c r="B446" t="s">
        <v>61</v>
      </c>
      <c r="H446">
        <v>33367</v>
      </c>
      <c r="M446">
        <v>1092</v>
      </c>
      <c r="N446">
        <v>33367</v>
      </c>
      <c r="O446">
        <v>0.109</v>
      </c>
      <c r="P446">
        <v>29.63</v>
      </c>
      <c r="R446">
        <f t="shared" si="12"/>
        <v>0</v>
      </c>
      <c r="S446" s="3">
        <f t="shared" si="13"/>
        <v>0</v>
      </c>
    </row>
    <row r="447" spans="1:19" x14ac:dyDescent="0.3">
      <c r="A447" s="5">
        <v>44277</v>
      </c>
      <c r="B447" t="s">
        <v>61</v>
      </c>
      <c r="H447">
        <v>27870</v>
      </c>
      <c r="M447">
        <v>912</v>
      </c>
      <c r="N447">
        <v>27870</v>
      </c>
      <c r="O447">
        <v>9.0999999999999998E-2</v>
      </c>
      <c r="P447">
        <v>29.63</v>
      </c>
      <c r="R447">
        <f t="shared" si="12"/>
        <v>0</v>
      </c>
      <c r="S447" s="3">
        <f t="shared" si="13"/>
        <v>0</v>
      </c>
    </row>
    <row r="448" spans="1:19" x14ac:dyDescent="0.3">
      <c r="A448" s="5">
        <v>44278</v>
      </c>
      <c r="B448" t="s">
        <v>61</v>
      </c>
      <c r="H448">
        <v>22373</v>
      </c>
      <c r="M448">
        <v>732</v>
      </c>
      <c r="N448">
        <v>22373</v>
      </c>
      <c r="O448">
        <v>7.2999999999999995E-2</v>
      </c>
      <c r="P448">
        <v>29.63</v>
      </c>
      <c r="R448">
        <f t="shared" si="12"/>
        <v>0</v>
      </c>
      <c r="S448" s="3">
        <f t="shared" si="13"/>
        <v>0</v>
      </c>
    </row>
    <row r="449" spans="1:19" x14ac:dyDescent="0.3">
      <c r="A449" s="5">
        <v>44279</v>
      </c>
      <c r="B449" t="s">
        <v>61</v>
      </c>
      <c r="H449">
        <v>16876</v>
      </c>
      <c r="M449">
        <v>552</v>
      </c>
      <c r="N449">
        <v>16876</v>
      </c>
      <c r="O449">
        <v>5.5E-2</v>
      </c>
      <c r="P449">
        <v>29.63</v>
      </c>
      <c r="R449">
        <f t="shared" si="12"/>
        <v>0</v>
      </c>
      <c r="S449" s="3">
        <f t="shared" si="13"/>
        <v>0</v>
      </c>
    </row>
    <row r="450" spans="1:19" x14ac:dyDescent="0.3">
      <c r="A450" s="5">
        <v>44280</v>
      </c>
      <c r="B450" t="s">
        <v>61</v>
      </c>
      <c r="H450">
        <v>11379</v>
      </c>
      <c r="M450">
        <v>373</v>
      </c>
      <c r="N450">
        <v>11379</v>
      </c>
      <c r="O450">
        <v>3.6999999999999998E-2</v>
      </c>
      <c r="P450">
        <v>29.63</v>
      </c>
      <c r="R450">
        <f t="shared" si="12"/>
        <v>0</v>
      </c>
      <c r="S450" s="3">
        <f t="shared" si="13"/>
        <v>0</v>
      </c>
    </row>
    <row r="451" spans="1:19" x14ac:dyDescent="0.3">
      <c r="A451" s="5">
        <v>44281</v>
      </c>
      <c r="B451" t="s">
        <v>61</v>
      </c>
      <c r="H451">
        <v>5882</v>
      </c>
      <c r="M451">
        <v>193</v>
      </c>
      <c r="N451">
        <v>5882</v>
      </c>
      <c r="O451">
        <v>1.9E-2</v>
      </c>
      <c r="P451">
        <v>29.63</v>
      </c>
      <c r="R451">
        <f t="shared" si="12"/>
        <v>0</v>
      </c>
      <c r="S451" s="3">
        <f t="shared" si="13"/>
        <v>0</v>
      </c>
    </row>
    <row r="452" spans="1:19" x14ac:dyDescent="0.3">
      <c r="A452" s="5">
        <v>44282</v>
      </c>
      <c r="B452" t="s">
        <v>61</v>
      </c>
      <c r="H452">
        <v>5882</v>
      </c>
      <c r="M452">
        <v>193</v>
      </c>
      <c r="N452">
        <v>5882</v>
      </c>
      <c r="O452">
        <v>1.9E-2</v>
      </c>
      <c r="P452">
        <v>29.63</v>
      </c>
      <c r="R452">
        <f t="shared" si="12"/>
        <v>0</v>
      </c>
      <c r="S452" s="3">
        <f t="shared" si="13"/>
        <v>0</v>
      </c>
    </row>
    <row r="453" spans="1:19" x14ac:dyDescent="0.3">
      <c r="A453" s="5">
        <v>44283</v>
      </c>
      <c r="B453" t="s">
        <v>61</v>
      </c>
      <c r="H453">
        <v>5882</v>
      </c>
      <c r="M453">
        <v>193</v>
      </c>
      <c r="N453">
        <v>5882</v>
      </c>
      <c r="O453">
        <v>1.9E-2</v>
      </c>
      <c r="P453">
        <v>29.63</v>
      </c>
      <c r="R453">
        <f t="shared" si="12"/>
        <v>0</v>
      </c>
      <c r="S453" s="3">
        <f t="shared" si="13"/>
        <v>0</v>
      </c>
    </row>
    <row r="454" spans="1:19" x14ac:dyDescent="0.3">
      <c r="A454" s="5">
        <v>44284</v>
      </c>
      <c r="B454" t="s">
        <v>61</v>
      </c>
      <c r="H454">
        <v>5882</v>
      </c>
      <c r="M454">
        <v>193</v>
      </c>
      <c r="N454">
        <v>5882</v>
      </c>
      <c r="O454">
        <v>1.9E-2</v>
      </c>
      <c r="P454">
        <v>29.63</v>
      </c>
      <c r="R454">
        <f t="shared" ref="R454:R517" si="14">J454-K454</f>
        <v>0</v>
      </c>
      <c r="S454" s="3">
        <f t="shared" ref="S454:S517" si="15">MIN(1, (0.5*MAX(R454,0) + 1*K454)/100 )</f>
        <v>0</v>
      </c>
    </row>
    <row r="455" spans="1:19" x14ac:dyDescent="0.3">
      <c r="A455" s="5">
        <v>44285</v>
      </c>
      <c r="B455" t="s">
        <v>61</v>
      </c>
      <c r="H455">
        <v>5882</v>
      </c>
      <c r="M455">
        <v>193</v>
      </c>
      <c r="N455">
        <v>5882</v>
      </c>
      <c r="O455">
        <v>1.9E-2</v>
      </c>
      <c r="P455">
        <v>29.63</v>
      </c>
      <c r="R455">
        <f t="shared" si="14"/>
        <v>0</v>
      </c>
      <c r="S455" s="3">
        <f t="shared" si="15"/>
        <v>0</v>
      </c>
    </row>
    <row r="456" spans="1:19" x14ac:dyDescent="0.3">
      <c r="A456" s="5">
        <v>44286</v>
      </c>
      <c r="B456" t="s">
        <v>61</v>
      </c>
      <c r="H456">
        <v>5882</v>
      </c>
      <c r="M456">
        <v>193</v>
      </c>
      <c r="N456">
        <v>5882</v>
      </c>
      <c r="O456">
        <v>1.9E-2</v>
      </c>
      <c r="P456">
        <v>29.63</v>
      </c>
      <c r="R456">
        <f t="shared" si="14"/>
        <v>0</v>
      </c>
      <c r="S456" s="3">
        <f t="shared" si="15"/>
        <v>0</v>
      </c>
    </row>
    <row r="457" spans="1:19" x14ac:dyDescent="0.3">
      <c r="A457" s="5">
        <v>44287</v>
      </c>
      <c r="B457" t="s">
        <v>61</v>
      </c>
      <c r="H457">
        <v>5882</v>
      </c>
      <c r="M457">
        <v>193</v>
      </c>
      <c r="N457">
        <v>5882</v>
      </c>
      <c r="O457">
        <v>1.9E-2</v>
      </c>
      <c r="P457">
        <v>29.63</v>
      </c>
      <c r="R457">
        <f t="shared" si="14"/>
        <v>0</v>
      </c>
      <c r="S457" s="3">
        <f t="shared" si="15"/>
        <v>0</v>
      </c>
    </row>
    <row r="458" spans="1:19" x14ac:dyDescent="0.3">
      <c r="A458" s="5">
        <v>44288</v>
      </c>
      <c r="B458" t="s">
        <v>61</v>
      </c>
      <c r="H458">
        <v>5882</v>
      </c>
      <c r="M458">
        <v>193</v>
      </c>
      <c r="N458">
        <v>5882</v>
      </c>
      <c r="O458">
        <v>1.9E-2</v>
      </c>
      <c r="P458">
        <v>29.63</v>
      </c>
      <c r="R458">
        <f t="shared" si="14"/>
        <v>0</v>
      </c>
      <c r="S458" s="3">
        <f t="shared" si="15"/>
        <v>0</v>
      </c>
    </row>
    <row r="459" spans="1:19" x14ac:dyDescent="0.3">
      <c r="A459" s="5">
        <v>44289</v>
      </c>
      <c r="B459" t="s">
        <v>61</v>
      </c>
      <c r="H459">
        <v>5882</v>
      </c>
      <c r="M459">
        <v>193</v>
      </c>
      <c r="N459">
        <v>5882</v>
      </c>
      <c r="O459">
        <v>1.9E-2</v>
      </c>
      <c r="P459">
        <v>29.63</v>
      </c>
      <c r="R459">
        <f t="shared" si="14"/>
        <v>0</v>
      </c>
      <c r="S459" s="3">
        <f t="shared" si="15"/>
        <v>0</v>
      </c>
    </row>
    <row r="460" spans="1:19" x14ac:dyDescent="0.3">
      <c r="A460" s="5">
        <v>44290</v>
      </c>
      <c r="B460" t="s">
        <v>61</v>
      </c>
      <c r="H460">
        <v>5882</v>
      </c>
      <c r="M460">
        <v>193</v>
      </c>
      <c r="N460">
        <v>5882</v>
      </c>
      <c r="O460">
        <v>1.9E-2</v>
      </c>
      <c r="P460">
        <v>29.63</v>
      </c>
      <c r="R460">
        <f t="shared" si="14"/>
        <v>0</v>
      </c>
      <c r="S460" s="3">
        <f t="shared" si="15"/>
        <v>0</v>
      </c>
    </row>
    <row r="461" spans="1:19" x14ac:dyDescent="0.3">
      <c r="A461" s="5">
        <v>44291</v>
      </c>
      <c r="B461" t="s">
        <v>61</v>
      </c>
      <c r="C461">
        <v>1700000</v>
      </c>
      <c r="D461">
        <v>1700000</v>
      </c>
      <c r="H461">
        <v>5882</v>
      </c>
      <c r="I461">
        <v>5.57</v>
      </c>
      <c r="J461">
        <v>5.57</v>
      </c>
      <c r="M461">
        <v>193</v>
      </c>
      <c r="N461">
        <v>5882</v>
      </c>
      <c r="O461">
        <v>1.9E-2</v>
      </c>
      <c r="P461">
        <v>29.63</v>
      </c>
      <c r="R461">
        <f t="shared" si="14"/>
        <v>5.57</v>
      </c>
      <c r="S461" s="3">
        <f t="shared" si="15"/>
        <v>2.785E-2</v>
      </c>
    </row>
    <row r="462" spans="1:19" x14ac:dyDescent="0.3">
      <c r="A462" s="5">
        <v>44292</v>
      </c>
      <c r="B462" t="s">
        <v>61</v>
      </c>
      <c r="H462">
        <v>12630</v>
      </c>
      <c r="M462">
        <v>413</v>
      </c>
      <c r="N462">
        <v>12630</v>
      </c>
      <c r="O462">
        <v>4.1000000000000002E-2</v>
      </c>
      <c r="P462">
        <v>29.63</v>
      </c>
      <c r="R462">
        <f t="shared" si="14"/>
        <v>0</v>
      </c>
      <c r="S462" s="3">
        <f t="shared" si="15"/>
        <v>0</v>
      </c>
    </row>
    <row r="463" spans="1:19" x14ac:dyDescent="0.3">
      <c r="A463" s="5">
        <v>44293</v>
      </c>
      <c r="B463" t="s">
        <v>61</v>
      </c>
      <c r="C463">
        <v>1806236</v>
      </c>
      <c r="D463">
        <v>1806236</v>
      </c>
      <c r="H463">
        <v>19378</v>
      </c>
      <c r="I463">
        <v>5.91</v>
      </c>
      <c r="J463">
        <v>5.91</v>
      </c>
      <c r="M463">
        <v>634</v>
      </c>
      <c r="N463">
        <v>19378</v>
      </c>
      <c r="O463">
        <v>6.3E-2</v>
      </c>
      <c r="P463">
        <v>29.63</v>
      </c>
      <c r="R463">
        <f t="shared" si="14"/>
        <v>5.91</v>
      </c>
      <c r="S463" s="3">
        <f t="shared" si="15"/>
        <v>2.955E-2</v>
      </c>
    </row>
    <row r="464" spans="1:19" x14ac:dyDescent="0.3">
      <c r="A464" s="5">
        <v>44294</v>
      </c>
      <c r="B464" t="s">
        <v>61</v>
      </c>
      <c r="C464">
        <v>1811658</v>
      </c>
      <c r="D464">
        <v>1811658</v>
      </c>
      <c r="G464">
        <v>5422</v>
      </c>
      <c r="H464">
        <v>19312</v>
      </c>
      <c r="I464">
        <v>5.93</v>
      </c>
      <c r="J464">
        <v>5.93</v>
      </c>
      <c r="M464">
        <v>632</v>
      </c>
      <c r="N464">
        <v>19312</v>
      </c>
      <c r="O464">
        <v>6.3E-2</v>
      </c>
      <c r="P464">
        <v>29.63</v>
      </c>
      <c r="R464">
        <f t="shared" si="14"/>
        <v>5.93</v>
      </c>
      <c r="S464" s="3">
        <f t="shared" si="15"/>
        <v>2.9649999999999999E-2</v>
      </c>
    </row>
    <row r="465" spans="1:19" x14ac:dyDescent="0.3">
      <c r="A465" s="5">
        <v>44295</v>
      </c>
      <c r="B465" t="s">
        <v>61</v>
      </c>
      <c r="C465">
        <v>1835263</v>
      </c>
      <c r="D465">
        <v>1835263</v>
      </c>
      <c r="G465">
        <v>23605</v>
      </c>
      <c r="H465">
        <v>21844</v>
      </c>
      <c r="I465">
        <v>6.01</v>
      </c>
      <c r="J465">
        <v>6.01</v>
      </c>
      <c r="M465">
        <v>715</v>
      </c>
      <c r="N465">
        <v>21844</v>
      </c>
      <c r="O465">
        <v>7.1999999999999995E-2</v>
      </c>
      <c r="P465">
        <v>29.63</v>
      </c>
      <c r="R465">
        <f t="shared" si="14"/>
        <v>6.01</v>
      </c>
      <c r="S465" s="3">
        <f t="shared" si="15"/>
        <v>3.005E-2</v>
      </c>
    </row>
    <row r="466" spans="1:19" x14ac:dyDescent="0.3">
      <c r="A466" s="5">
        <v>44296</v>
      </c>
      <c r="B466" t="s">
        <v>61</v>
      </c>
      <c r="C466">
        <v>1841124</v>
      </c>
      <c r="D466">
        <v>1841124</v>
      </c>
      <c r="G466">
        <v>5861</v>
      </c>
      <c r="H466">
        <v>21841</v>
      </c>
      <c r="I466">
        <v>6.03</v>
      </c>
      <c r="J466">
        <v>6.03</v>
      </c>
      <c r="M466">
        <v>715</v>
      </c>
      <c r="N466">
        <v>21841</v>
      </c>
      <c r="O466">
        <v>7.0999999999999994E-2</v>
      </c>
      <c r="P466">
        <v>29.63</v>
      </c>
      <c r="R466">
        <f t="shared" si="14"/>
        <v>6.03</v>
      </c>
      <c r="S466" s="3">
        <f t="shared" si="15"/>
        <v>3.015E-2</v>
      </c>
    </row>
    <row r="467" spans="1:19" x14ac:dyDescent="0.3">
      <c r="A467" s="5">
        <v>44297</v>
      </c>
      <c r="B467" t="s">
        <v>61</v>
      </c>
      <c r="C467">
        <v>1850570</v>
      </c>
      <c r="D467">
        <v>1850570</v>
      </c>
      <c r="G467">
        <v>9446</v>
      </c>
      <c r="H467">
        <v>22350</v>
      </c>
      <c r="I467">
        <v>6.06</v>
      </c>
      <c r="J467">
        <v>6.06</v>
      </c>
      <c r="M467">
        <v>732</v>
      </c>
      <c r="N467">
        <v>22350</v>
      </c>
      <c r="O467">
        <v>7.2999999999999995E-2</v>
      </c>
      <c r="P467">
        <v>29.63</v>
      </c>
      <c r="R467">
        <f t="shared" si="14"/>
        <v>6.06</v>
      </c>
      <c r="S467" s="3">
        <f t="shared" si="15"/>
        <v>3.0299999999999997E-2</v>
      </c>
    </row>
    <row r="468" spans="1:19" x14ac:dyDescent="0.3">
      <c r="A468" s="5">
        <v>44298</v>
      </c>
      <c r="B468" t="s">
        <v>61</v>
      </c>
      <c r="H468">
        <v>23139</v>
      </c>
      <c r="M468">
        <v>757</v>
      </c>
      <c r="N468">
        <v>23139</v>
      </c>
      <c r="O468">
        <v>7.5999999999999998E-2</v>
      </c>
      <c r="P468">
        <v>29.63</v>
      </c>
      <c r="R468">
        <f t="shared" si="14"/>
        <v>0</v>
      </c>
      <c r="S468" s="3">
        <f t="shared" si="15"/>
        <v>0</v>
      </c>
    </row>
    <row r="469" spans="1:19" x14ac:dyDescent="0.3">
      <c r="A469" s="5">
        <v>44299</v>
      </c>
      <c r="B469" t="s">
        <v>61</v>
      </c>
      <c r="C469">
        <v>1873377</v>
      </c>
      <c r="D469">
        <v>1873377</v>
      </c>
      <c r="H469">
        <v>17180</v>
      </c>
      <c r="I469">
        <v>6.13</v>
      </c>
      <c r="J469">
        <v>6.13</v>
      </c>
      <c r="M469">
        <v>562</v>
      </c>
      <c r="N469">
        <v>17180</v>
      </c>
      <c r="O469">
        <v>5.6000000000000001E-2</v>
      </c>
      <c r="P469">
        <v>28.7</v>
      </c>
      <c r="R469">
        <f t="shared" si="14"/>
        <v>6.13</v>
      </c>
      <c r="S469" s="3">
        <f t="shared" si="15"/>
        <v>3.065E-2</v>
      </c>
    </row>
    <row r="470" spans="1:19" x14ac:dyDescent="0.3">
      <c r="A470" s="5">
        <v>44300</v>
      </c>
      <c r="B470" t="s">
        <v>61</v>
      </c>
      <c r="H470">
        <v>10476</v>
      </c>
      <c r="M470">
        <v>343</v>
      </c>
      <c r="N470">
        <v>10476</v>
      </c>
      <c r="O470">
        <v>3.4000000000000002E-2</v>
      </c>
      <c r="P470">
        <v>28.7</v>
      </c>
      <c r="R470">
        <f t="shared" si="14"/>
        <v>0</v>
      </c>
      <c r="S470" s="3">
        <f t="shared" si="15"/>
        <v>0</v>
      </c>
    </row>
    <row r="471" spans="1:19" x14ac:dyDescent="0.3">
      <c r="A471" s="5">
        <v>44301</v>
      </c>
      <c r="B471" t="s">
        <v>61</v>
      </c>
      <c r="C471">
        <v>1885755</v>
      </c>
      <c r="D471">
        <v>1885755</v>
      </c>
      <c r="H471">
        <v>10585</v>
      </c>
      <c r="I471">
        <v>6.17</v>
      </c>
      <c r="J471">
        <v>6.17</v>
      </c>
      <c r="M471">
        <v>347</v>
      </c>
      <c r="N471">
        <v>10585</v>
      </c>
      <c r="O471">
        <v>3.5000000000000003E-2</v>
      </c>
      <c r="P471">
        <v>28.7</v>
      </c>
      <c r="R471">
        <f t="shared" si="14"/>
        <v>6.17</v>
      </c>
      <c r="S471" s="3">
        <f t="shared" si="15"/>
        <v>3.0849999999999999E-2</v>
      </c>
    </row>
    <row r="472" spans="1:19" x14ac:dyDescent="0.3">
      <c r="A472" s="5">
        <v>44302</v>
      </c>
      <c r="B472" t="s">
        <v>61</v>
      </c>
      <c r="C472">
        <v>1900583</v>
      </c>
      <c r="D472">
        <v>1900583</v>
      </c>
      <c r="G472">
        <v>14828</v>
      </c>
      <c r="H472">
        <v>9331</v>
      </c>
      <c r="I472">
        <v>6.22</v>
      </c>
      <c r="J472">
        <v>6.22</v>
      </c>
      <c r="M472">
        <v>305</v>
      </c>
      <c r="N472">
        <v>9331</v>
      </c>
      <c r="O472">
        <v>3.1E-2</v>
      </c>
      <c r="P472">
        <v>28.7</v>
      </c>
      <c r="R472">
        <f t="shared" si="14"/>
        <v>6.22</v>
      </c>
      <c r="S472" s="3">
        <f t="shared" si="15"/>
        <v>3.1099999999999999E-2</v>
      </c>
    </row>
    <row r="473" spans="1:19" x14ac:dyDescent="0.3">
      <c r="A473" s="5">
        <v>44303</v>
      </c>
      <c r="B473" t="s">
        <v>61</v>
      </c>
      <c r="C473">
        <v>1910209</v>
      </c>
      <c r="D473">
        <v>1910209</v>
      </c>
      <c r="G473">
        <v>9626</v>
      </c>
      <c r="H473">
        <v>9869</v>
      </c>
      <c r="I473">
        <v>6.25</v>
      </c>
      <c r="J473">
        <v>6.25</v>
      </c>
      <c r="M473">
        <v>323</v>
      </c>
      <c r="N473">
        <v>9869</v>
      </c>
      <c r="O473">
        <v>3.2000000000000001E-2</v>
      </c>
      <c r="P473">
        <v>28.7</v>
      </c>
      <c r="R473">
        <f t="shared" si="14"/>
        <v>6.25</v>
      </c>
      <c r="S473" s="3">
        <f t="shared" si="15"/>
        <v>3.125E-2</v>
      </c>
    </row>
    <row r="474" spans="1:19" x14ac:dyDescent="0.3">
      <c r="A474" s="5">
        <v>44304</v>
      </c>
      <c r="B474" t="s">
        <v>61</v>
      </c>
      <c r="C474">
        <v>1924703</v>
      </c>
      <c r="D474">
        <v>1924703</v>
      </c>
      <c r="G474">
        <v>14494</v>
      </c>
      <c r="H474">
        <v>10590</v>
      </c>
      <c r="I474">
        <v>6.3</v>
      </c>
      <c r="J474">
        <v>6.3</v>
      </c>
      <c r="M474">
        <v>347</v>
      </c>
      <c r="N474">
        <v>10590</v>
      </c>
      <c r="O474">
        <v>3.5000000000000003E-2</v>
      </c>
      <c r="P474">
        <v>28.7</v>
      </c>
      <c r="R474">
        <f t="shared" si="14"/>
        <v>6.3</v>
      </c>
      <c r="S474" s="3">
        <f t="shared" si="15"/>
        <v>3.15E-2</v>
      </c>
    </row>
    <row r="475" spans="1:19" x14ac:dyDescent="0.3">
      <c r="A475" s="5">
        <v>44305</v>
      </c>
      <c r="B475" t="s">
        <v>61</v>
      </c>
      <c r="C475">
        <v>1938679</v>
      </c>
      <c r="D475">
        <v>1938679</v>
      </c>
      <c r="G475">
        <v>13976</v>
      </c>
      <c r="H475">
        <v>10958</v>
      </c>
      <c r="I475">
        <v>6.35</v>
      </c>
      <c r="J475">
        <v>6.35</v>
      </c>
      <c r="M475">
        <v>359</v>
      </c>
      <c r="N475">
        <v>10958</v>
      </c>
      <c r="O475">
        <v>3.5999999999999997E-2</v>
      </c>
      <c r="P475">
        <v>36.11</v>
      </c>
      <c r="R475">
        <f t="shared" si="14"/>
        <v>6.35</v>
      </c>
      <c r="S475" s="3">
        <f t="shared" si="15"/>
        <v>3.175E-2</v>
      </c>
    </row>
    <row r="476" spans="1:19" x14ac:dyDescent="0.3">
      <c r="A476" s="5">
        <v>44306</v>
      </c>
      <c r="B476" t="s">
        <v>61</v>
      </c>
      <c r="C476">
        <v>1961992</v>
      </c>
      <c r="D476">
        <v>1961992</v>
      </c>
      <c r="G476">
        <v>23313</v>
      </c>
      <c r="H476">
        <v>12659</v>
      </c>
      <c r="I476">
        <v>6.42</v>
      </c>
      <c r="J476">
        <v>6.42</v>
      </c>
      <c r="M476">
        <v>414</v>
      </c>
      <c r="N476">
        <v>12659</v>
      </c>
      <c r="O476">
        <v>4.1000000000000002E-2</v>
      </c>
      <c r="P476">
        <v>36.11</v>
      </c>
      <c r="R476">
        <f t="shared" si="14"/>
        <v>6.42</v>
      </c>
      <c r="S476" s="3">
        <f t="shared" si="15"/>
        <v>3.2099999999999997E-2</v>
      </c>
    </row>
    <row r="477" spans="1:19" x14ac:dyDescent="0.3">
      <c r="A477" s="5">
        <v>44307</v>
      </c>
      <c r="B477" t="s">
        <v>61</v>
      </c>
      <c r="C477">
        <v>1966506</v>
      </c>
      <c r="D477">
        <v>1966506</v>
      </c>
      <c r="G477">
        <v>4514</v>
      </c>
      <c r="H477">
        <v>12420</v>
      </c>
      <c r="I477">
        <v>6.44</v>
      </c>
      <c r="J477">
        <v>6.44</v>
      </c>
      <c r="M477">
        <v>407</v>
      </c>
      <c r="N477">
        <v>12420</v>
      </c>
      <c r="O477">
        <v>4.1000000000000002E-2</v>
      </c>
      <c r="P477">
        <v>36.11</v>
      </c>
      <c r="R477">
        <f t="shared" si="14"/>
        <v>6.44</v>
      </c>
      <c r="S477" s="3">
        <f t="shared" si="15"/>
        <v>3.2199999999999999E-2</v>
      </c>
    </row>
    <row r="478" spans="1:19" x14ac:dyDescent="0.3">
      <c r="A478" s="5">
        <v>44308</v>
      </c>
      <c r="B478" t="s">
        <v>61</v>
      </c>
      <c r="C478">
        <v>1978239</v>
      </c>
      <c r="D478">
        <v>1978239</v>
      </c>
      <c r="G478">
        <v>11733</v>
      </c>
      <c r="H478">
        <v>13212</v>
      </c>
      <c r="I478">
        <v>6.48</v>
      </c>
      <c r="J478">
        <v>6.48</v>
      </c>
      <c r="M478">
        <v>433</v>
      </c>
      <c r="N478">
        <v>13212</v>
      </c>
      <c r="O478">
        <v>4.2999999999999997E-2</v>
      </c>
      <c r="P478">
        <v>36.11</v>
      </c>
      <c r="R478">
        <f t="shared" si="14"/>
        <v>6.48</v>
      </c>
      <c r="S478" s="3">
        <f t="shared" si="15"/>
        <v>3.2400000000000005E-2</v>
      </c>
    </row>
    <row r="479" spans="1:19" x14ac:dyDescent="0.3">
      <c r="A479" s="5">
        <v>44309</v>
      </c>
      <c r="B479" t="s">
        <v>61</v>
      </c>
      <c r="C479">
        <v>1989248</v>
      </c>
      <c r="D479">
        <v>1989248</v>
      </c>
      <c r="G479">
        <v>11009</v>
      </c>
      <c r="H479">
        <v>12666</v>
      </c>
      <c r="I479">
        <v>6.51</v>
      </c>
      <c r="J479">
        <v>6.51</v>
      </c>
      <c r="M479">
        <v>415</v>
      </c>
      <c r="N479">
        <v>12666</v>
      </c>
      <c r="O479">
        <v>4.1000000000000002E-2</v>
      </c>
      <c r="P479">
        <v>36.11</v>
      </c>
      <c r="R479">
        <f t="shared" si="14"/>
        <v>6.51</v>
      </c>
      <c r="S479" s="3">
        <f t="shared" si="15"/>
        <v>3.2549999999999996E-2</v>
      </c>
    </row>
    <row r="480" spans="1:19" x14ac:dyDescent="0.3">
      <c r="A480" s="5">
        <v>44310</v>
      </c>
      <c r="B480" t="s">
        <v>61</v>
      </c>
      <c r="H480">
        <v>12519</v>
      </c>
      <c r="M480">
        <v>410</v>
      </c>
      <c r="N480">
        <v>12519</v>
      </c>
      <c r="O480">
        <v>4.1000000000000002E-2</v>
      </c>
      <c r="P480">
        <v>36.11</v>
      </c>
      <c r="R480">
        <f t="shared" si="14"/>
        <v>0</v>
      </c>
      <c r="S480" s="3">
        <f t="shared" si="15"/>
        <v>0</v>
      </c>
    </row>
    <row r="481" spans="1:19" x14ac:dyDescent="0.3">
      <c r="A481" s="5">
        <v>44311</v>
      </c>
      <c r="B481" t="s">
        <v>61</v>
      </c>
      <c r="C481">
        <v>2006436</v>
      </c>
      <c r="D481">
        <v>2006436</v>
      </c>
      <c r="H481">
        <v>11676</v>
      </c>
      <c r="I481">
        <v>6.57</v>
      </c>
      <c r="J481">
        <v>6.57</v>
      </c>
      <c r="M481">
        <v>382</v>
      </c>
      <c r="N481">
        <v>11676</v>
      </c>
      <c r="O481">
        <v>3.7999999999999999E-2</v>
      </c>
      <c r="P481">
        <v>36.11</v>
      </c>
      <c r="R481">
        <f t="shared" si="14"/>
        <v>6.57</v>
      </c>
      <c r="S481" s="3">
        <f t="shared" si="15"/>
        <v>3.2850000000000004E-2</v>
      </c>
    </row>
    <row r="482" spans="1:19" x14ac:dyDescent="0.3">
      <c r="A482" s="5">
        <v>44312</v>
      </c>
      <c r="B482" t="s">
        <v>61</v>
      </c>
      <c r="C482">
        <v>2019177</v>
      </c>
      <c r="D482">
        <v>2019177</v>
      </c>
      <c r="G482">
        <v>12741</v>
      </c>
      <c r="H482">
        <v>11500</v>
      </c>
      <c r="I482">
        <v>6.61</v>
      </c>
      <c r="J482">
        <v>6.61</v>
      </c>
      <c r="M482">
        <v>376</v>
      </c>
      <c r="N482">
        <v>11500</v>
      </c>
      <c r="O482">
        <v>3.7999999999999999E-2</v>
      </c>
      <c r="P482">
        <v>36.11</v>
      </c>
      <c r="R482">
        <f t="shared" si="14"/>
        <v>6.61</v>
      </c>
      <c r="S482" s="3">
        <f t="shared" si="15"/>
        <v>3.3050000000000003E-2</v>
      </c>
    </row>
    <row r="483" spans="1:19" x14ac:dyDescent="0.3">
      <c r="A483" s="5">
        <v>44313</v>
      </c>
      <c r="B483" t="s">
        <v>61</v>
      </c>
      <c r="C483">
        <v>2051440</v>
      </c>
      <c r="D483">
        <v>2051440</v>
      </c>
      <c r="G483">
        <v>32263</v>
      </c>
      <c r="H483">
        <v>12778</v>
      </c>
      <c r="I483">
        <v>6.72</v>
      </c>
      <c r="J483">
        <v>6.72</v>
      </c>
      <c r="M483">
        <v>418</v>
      </c>
      <c r="N483">
        <v>12778</v>
      </c>
      <c r="O483">
        <v>4.2000000000000003E-2</v>
      </c>
      <c r="P483">
        <v>36.11</v>
      </c>
      <c r="R483">
        <f t="shared" si="14"/>
        <v>6.72</v>
      </c>
      <c r="S483" s="3">
        <f t="shared" si="15"/>
        <v>3.3599999999999998E-2</v>
      </c>
    </row>
    <row r="484" spans="1:19" x14ac:dyDescent="0.3">
      <c r="A484" s="5">
        <v>44314</v>
      </c>
      <c r="B484" t="s">
        <v>61</v>
      </c>
      <c r="C484">
        <v>2091511</v>
      </c>
      <c r="D484">
        <v>2091511</v>
      </c>
      <c r="G484">
        <v>40071</v>
      </c>
      <c r="H484">
        <v>17858</v>
      </c>
      <c r="I484">
        <v>6.85</v>
      </c>
      <c r="J484">
        <v>6.85</v>
      </c>
      <c r="M484">
        <v>585</v>
      </c>
      <c r="N484">
        <v>17858</v>
      </c>
      <c r="O484">
        <v>5.8000000000000003E-2</v>
      </c>
      <c r="P484">
        <v>36.11</v>
      </c>
      <c r="R484">
        <f t="shared" si="14"/>
        <v>6.85</v>
      </c>
      <c r="S484" s="3">
        <f t="shared" si="15"/>
        <v>3.4249999999999996E-2</v>
      </c>
    </row>
    <row r="485" spans="1:19" x14ac:dyDescent="0.3">
      <c r="A485" s="5">
        <v>44315</v>
      </c>
      <c r="B485" t="s">
        <v>61</v>
      </c>
      <c r="H485">
        <v>21928</v>
      </c>
      <c r="M485">
        <v>718</v>
      </c>
      <c r="N485">
        <v>16182</v>
      </c>
      <c r="O485">
        <v>5.2999999999999999E-2</v>
      </c>
      <c r="P485">
        <v>91.67</v>
      </c>
      <c r="R485">
        <f t="shared" si="14"/>
        <v>0</v>
      </c>
      <c r="S485" s="3">
        <f t="shared" si="15"/>
        <v>0</v>
      </c>
    </row>
    <row r="486" spans="1:19" x14ac:dyDescent="0.3">
      <c r="A486" s="5">
        <v>44316</v>
      </c>
      <c r="B486" t="s">
        <v>61</v>
      </c>
      <c r="H486">
        <v>26101</v>
      </c>
      <c r="M486">
        <v>854</v>
      </c>
      <c r="N486">
        <v>14609</v>
      </c>
      <c r="O486">
        <v>4.8000000000000001E-2</v>
      </c>
      <c r="P486">
        <v>91.67</v>
      </c>
      <c r="R486">
        <f t="shared" si="14"/>
        <v>0</v>
      </c>
      <c r="S486" s="3">
        <f t="shared" si="15"/>
        <v>0</v>
      </c>
    </row>
    <row r="487" spans="1:19" x14ac:dyDescent="0.3">
      <c r="A487" s="5">
        <v>44317</v>
      </c>
      <c r="B487" t="s">
        <v>61</v>
      </c>
      <c r="H487">
        <v>30619</v>
      </c>
      <c r="M487">
        <v>1002</v>
      </c>
      <c r="N487">
        <v>13381</v>
      </c>
      <c r="O487">
        <v>4.3999999999999997E-2</v>
      </c>
      <c r="P487">
        <v>91.67</v>
      </c>
      <c r="R487">
        <f t="shared" si="14"/>
        <v>0</v>
      </c>
      <c r="S487" s="3">
        <f t="shared" si="15"/>
        <v>0</v>
      </c>
    </row>
    <row r="488" spans="1:19" x14ac:dyDescent="0.3">
      <c r="A488" s="5">
        <v>44318</v>
      </c>
      <c r="B488" t="s">
        <v>61</v>
      </c>
      <c r="H488">
        <v>35138</v>
      </c>
      <c r="M488">
        <v>1150</v>
      </c>
      <c r="N488">
        <v>12154</v>
      </c>
      <c r="O488">
        <v>0.04</v>
      </c>
      <c r="P488">
        <v>91.67</v>
      </c>
      <c r="R488">
        <f t="shared" si="14"/>
        <v>0</v>
      </c>
      <c r="S488" s="3">
        <f t="shared" si="15"/>
        <v>0</v>
      </c>
    </row>
    <row r="489" spans="1:19" x14ac:dyDescent="0.3">
      <c r="A489" s="5">
        <v>44319</v>
      </c>
      <c r="B489" t="s">
        <v>61</v>
      </c>
      <c r="H489">
        <v>39064</v>
      </c>
      <c r="M489">
        <v>1279</v>
      </c>
      <c r="N489">
        <v>10333</v>
      </c>
      <c r="O489">
        <v>3.4000000000000002E-2</v>
      </c>
      <c r="P489">
        <v>91.67</v>
      </c>
      <c r="R489">
        <f t="shared" si="14"/>
        <v>0</v>
      </c>
      <c r="S489" s="3">
        <f t="shared" si="15"/>
        <v>0</v>
      </c>
    </row>
    <row r="490" spans="1:19" x14ac:dyDescent="0.3">
      <c r="A490" s="5">
        <v>44320</v>
      </c>
      <c r="B490" t="s">
        <v>61</v>
      </c>
      <c r="H490">
        <v>40201</v>
      </c>
      <c r="M490">
        <v>1316</v>
      </c>
      <c r="N490">
        <v>5724</v>
      </c>
      <c r="O490">
        <v>1.9E-2</v>
      </c>
      <c r="P490">
        <v>94.44</v>
      </c>
      <c r="R490">
        <f t="shared" si="14"/>
        <v>0</v>
      </c>
      <c r="S490" s="3">
        <f t="shared" si="15"/>
        <v>0</v>
      </c>
    </row>
    <row r="491" spans="1:19" x14ac:dyDescent="0.3">
      <c r="A491" s="5">
        <v>44321</v>
      </c>
      <c r="B491" t="s">
        <v>61</v>
      </c>
      <c r="H491">
        <v>40222</v>
      </c>
      <c r="M491">
        <v>1317</v>
      </c>
      <c r="N491">
        <v>0</v>
      </c>
      <c r="O491">
        <v>0</v>
      </c>
      <c r="P491">
        <v>94.44</v>
      </c>
      <c r="R491">
        <f t="shared" si="14"/>
        <v>0</v>
      </c>
      <c r="S491" s="3">
        <f t="shared" si="15"/>
        <v>0</v>
      </c>
    </row>
    <row r="492" spans="1:19" x14ac:dyDescent="0.3">
      <c r="A492" s="5">
        <v>44322</v>
      </c>
      <c r="B492" t="s">
        <v>61</v>
      </c>
      <c r="H492">
        <v>40222</v>
      </c>
      <c r="M492">
        <v>1317</v>
      </c>
      <c r="N492">
        <v>0</v>
      </c>
      <c r="O492">
        <v>0</v>
      </c>
      <c r="P492">
        <v>94.44</v>
      </c>
      <c r="R492">
        <f t="shared" si="14"/>
        <v>0</v>
      </c>
      <c r="S492" s="3">
        <f t="shared" si="15"/>
        <v>0</v>
      </c>
    </row>
    <row r="493" spans="1:19" x14ac:dyDescent="0.3">
      <c r="A493" s="5">
        <v>44323</v>
      </c>
      <c r="B493" t="s">
        <v>61</v>
      </c>
      <c r="C493">
        <v>2453512</v>
      </c>
      <c r="D493">
        <v>2091511</v>
      </c>
      <c r="E493">
        <v>362001</v>
      </c>
      <c r="H493">
        <v>40222</v>
      </c>
      <c r="I493">
        <v>8.0299999999999994</v>
      </c>
      <c r="J493">
        <v>6.85</v>
      </c>
      <c r="K493">
        <v>1.19</v>
      </c>
      <c r="M493">
        <v>1317</v>
      </c>
      <c r="N493">
        <v>0</v>
      </c>
      <c r="O493">
        <v>0</v>
      </c>
      <c r="P493">
        <v>94.44</v>
      </c>
      <c r="R493">
        <f t="shared" si="14"/>
        <v>5.66</v>
      </c>
      <c r="S493" s="3">
        <f t="shared" si="15"/>
        <v>4.0199999999999993E-2</v>
      </c>
    </row>
    <row r="494" spans="1:19" x14ac:dyDescent="0.3">
      <c r="A494" s="5">
        <v>44324</v>
      </c>
      <c r="B494" t="s">
        <v>61</v>
      </c>
      <c r="H494">
        <v>35594</v>
      </c>
      <c r="M494">
        <v>1165</v>
      </c>
      <c r="N494">
        <v>280</v>
      </c>
      <c r="O494">
        <v>1E-3</v>
      </c>
      <c r="P494">
        <v>94.44</v>
      </c>
      <c r="R494">
        <f t="shared" si="14"/>
        <v>0</v>
      </c>
      <c r="S494" s="3">
        <f t="shared" si="15"/>
        <v>0</v>
      </c>
    </row>
    <row r="495" spans="1:19" x14ac:dyDescent="0.3">
      <c r="A495" s="5">
        <v>44325</v>
      </c>
      <c r="B495" t="s">
        <v>61</v>
      </c>
      <c r="H495">
        <v>30966</v>
      </c>
      <c r="M495">
        <v>1014</v>
      </c>
      <c r="N495">
        <v>560</v>
      </c>
      <c r="O495">
        <v>2E-3</v>
      </c>
      <c r="P495">
        <v>94.44</v>
      </c>
      <c r="R495">
        <f t="shared" si="14"/>
        <v>0</v>
      </c>
      <c r="S495" s="3">
        <f t="shared" si="15"/>
        <v>0</v>
      </c>
    </row>
    <row r="496" spans="1:19" x14ac:dyDescent="0.3">
      <c r="A496" s="5">
        <v>44326</v>
      </c>
      <c r="B496" t="s">
        <v>61</v>
      </c>
      <c r="H496">
        <v>26338</v>
      </c>
      <c r="M496">
        <v>862</v>
      </c>
      <c r="N496">
        <v>840</v>
      </c>
      <c r="O496">
        <v>3.0000000000000001E-3</v>
      </c>
      <c r="P496">
        <v>94.44</v>
      </c>
      <c r="R496">
        <f t="shared" si="14"/>
        <v>0</v>
      </c>
      <c r="S496" s="3">
        <f t="shared" si="15"/>
        <v>0</v>
      </c>
    </row>
    <row r="497" spans="1:19" x14ac:dyDescent="0.3">
      <c r="A497" s="5">
        <v>44327</v>
      </c>
      <c r="B497" t="s">
        <v>61</v>
      </c>
      <c r="H497">
        <v>21710</v>
      </c>
      <c r="M497">
        <v>711</v>
      </c>
      <c r="N497">
        <v>1120</v>
      </c>
      <c r="O497">
        <v>4.0000000000000001E-3</v>
      </c>
      <c r="P497">
        <v>94.44</v>
      </c>
      <c r="R497">
        <f t="shared" si="14"/>
        <v>0</v>
      </c>
      <c r="S497" s="3">
        <f t="shared" si="15"/>
        <v>0</v>
      </c>
    </row>
    <row r="498" spans="1:19" x14ac:dyDescent="0.3">
      <c r="A498" s="5">
        <v>44328</v>
      </c>
      <c r="B498" t="s">
        <v>61</v>
      </c>
      <c r="H498">
        <v>17082</v>
      </c>
      <c r="M498">
        <v>559</v>
      </c>
      <c r="N498">
        <v>1401</v>
      </c>
      <c r="O498">
        <v>5.0000000000000001E-3</v>
      </c>
      <c r="P498">
        <v>94.44</v>
      </c>
      <c r="R498">
        <f t="shared" si="14"/>
        <v>0</v>
      </c>
      <c r="S498" s="3">
        <f t="shared" si="15"/>
        <v>0</v>
      </c>
    </row>
    <row r="499" spans="1:19" x14ac:dyDescent="0.3">
      <c r="A499" s="5">
        <v>44329</v>
      </c>
      <c r="B499" t="s">
        <v>61</v>
      </c>
      <c r="H499">
        <v>12453</v>
      </c>
      <c r="M499">
        <v>408</v>
      </c>
      <c r="N499">
        <v>1681</v>
      </c>
      <c r="O499">
        <v>6.0000000000000001E-3</v>
      </c>
      <c r="P499">
        <v>94.44</v>
      </c>
      <c r="R499">
        <f t="shared" si="14"/>
        <v>0</v>
      </c>
      <c r="S499" s="3">
        <f t="shared" si="15"/>
        <v>0</v>
      </c>
    </row>
    <row r="500" spans="1:19" x14ac:dyDescent="0.3">
      <c r="A500" s="5">
        <v>44330</v>
      </c>
      <c r="B500" t="s">
        <v>61</v>
      </c>
      <c r="H500">
        <v>7825</v>
      </c>
      <c r="M500">
        <v>256</v>
      </c>
      <c r="N500">
        <v>1961</v>
      </c>
      <c r="O500">
        <v>6.0000000000000001E-3</v>
      </c>
      <c r="P500">
        <v>94.44</v>
      </c>
      <c r="R500">
        <f t="shared" si="14"/>
        <v>0</v>
      </c>
      <c r="S500" s="3">
        <f t="shared" si="15"/>
        <v>0</v>
      </c>
    </row>
    <row r="501" spans="1:19" x14ac:dyDescent="0.3">
      <c r="A501" s="5">
        <v>44331</v>
      </c>
      <c r="B501" t="s">
        <v>61</v>
      </c>
      <c r="H501">
        <v>7825</v>
      </c>
      <c r="M501">
        <v>256</v>
      </c>
      <c r="N501">
        <v>1961</v>
      </c>
      <c r="O501">
        <v>6.0000000000000001E-3</v>
      </c>
      <c r="P501">
        <v>94.44</v>
      </c>
      <c r="R501">
        <f t="shared" si="14"/>
        <v>0</v>
      </c>
      <c r="S501" s="3">
        <f t="shared" si="15"/>
        <v>0</v>
      </c>
    </row>
    <row r="502" spans="1:19" x14ac:dyDescent="0.3">
      <c r="A502" s="5">
        <v>44332</v>
      </c>
      <c r="B502" t="s">
        <v>61</v>
      </c>
      <c r="H502">
        <v>7825</v>
      </c>
      <c r="M502">
        <v>256</v>
      </c>
      <c r="N502">
        <v>1961</v>
      </c>
      <c r="O502">
        <v>6.0000000000000001E-3</v>
      </c>
      <c r="P502">
        <v>94.44</v>
      </c>
      <c r="R502">
        <f t="shared" si="14"/>
        <v>0</v>
      </c>
      <c r="S502" s="3">
        <f t="shared" si="15"/>
        <v>0</v>
      </c>
    </row>
    <row r="503" spans="1:19" x14ac:dyDescent="0.3">
      <c r="A503" s="5">
        <v>44333</v>
      </c>
      <c r="B503" t="s">
        <v>61</v>
      </c>
      <c r="H503">
        <v>7825</v>
      </c>
      <c r="M503">
        <v>256</v>
      </c>
      <c r="N503">
        <v>1961</v>
      </c>
      <c r="O503">
        <v>6.0000000000000001E-3</v>
      </c>
      <c r="P503">
        <v>94.44</v>
      </c>
      <c r="R503">
        <f t="shared" si="14"/>
        <v>0</v>
      </c>
      <c r="S503" s="3">
        <f t="shared" si="15"/>
        <v>0</v>
      </c>
    </row>
    <row r="504" spans="1:19" x14ac:dyDescent="0.3">
      <c r="A504" s="5">
        <v>44334</v>
      </c>
      <c r="B504" t="s">
        <v>61</v>
      </c>
      <c r="C504">
        <v>2539590</v>
      </c>
      <c r="D504">
        <v>2113080</v>
      </c>
      <c r="E504">
        <v>426510</v>
      </c>
      <c r="H504">
        <v>7825</v>
      </c>
      <c r="I504">
        <v>8.31</v>
      </c>
      <c r="J504">
        <v>6.92</v>
      </c>
      <c r="K504">
        <v>1.4</v>
      </c>
      <c r="M504">
        <v>256</v>
      </c>
      <c r="N504">
        <v>1961</v>
      </c>
      <c r="O504">
        <v>6.0000000000000001E-3</v>
      </c>
      <c r="P504">
        <v>94.44</v>
      </c>
      <c r="R504">
        <f t="shared" si="14"/>
        <v>5.52</v>
      </c>
      <c r="S504" s="3">
        <f t="shared" si="15"/>
        <v>4.1599999999999998E-2</v>
      </c>
    </row>
    <row r="505" spans="1:19" x14ac:dyDescent="0.3">
      <c r="A505" s="5">
        <v>44335</v>
      </c>
      <c r="B505" t="s">
        <v>61</v>
      </c>
      <c r="H505">
        <v>10787</v>
      </c>
      <c r="M505">
        <v>353</v>
      </c>
      <c r="N505">
        <v>1681</v>
      </c>
      <c r="O505">
        <v>6.0000000000000001E-3</v>
      </c>
      <c r="P505">
        <v>94.44</v>
      </c>
      <c r="R505">
        <f t="shared" si="14"/>
        <v>0</v>
      </c>
      <c r="S505" s="3">
        <f t="shared" si="15"/>
        <v>0</v>
      </c>
    </row>
    <row r="506" spans="1:19" x14ac:dyDescent="0.3">
      <c r="A506" s="5">
        <v>44336</v>
      </c>
      <c r="B506" t="s">
        <v>61</v>
      </c>
      <c r="C506">
        <v>2596711</v>
      </c>
      <c r="D506">
        <v>2113080</v>
      </c>
      <c r="E506">
        <v>483631</v>
      </c>
      <c r="H506">
        <v>13750</v>
      </c>
      <c r="I506">
        <v>8.5</v>
      </c>
      <c r="J506">
        <v>6.92</v>
      </c>
      <c r="K506">
        <v>1.58</v>
      </c>
      <c r="M506">
        <v>450</v>
      </c>
      <c r="N506">
        <v>1401</v>
      </c>
      <c r="O506">
        <v>5.0000000000000001E-3</v>
      </c>
      <c r="P506">
        <v>94.44</v>
      </c>
      <c r="R506">
        <f t="shared" si="14"/>
        <v>5.34</v>
      </c>
      <c r="S506" s="3">
        <f t="shared" si="15"/>
        <v>4.2500000000000003E-2</v>
      </c>
    </row>
    <row r="507" spans="1:19" x14ac:dyDescent="0.3">
      <c r="A507" s="5">
        <v>44337</v>
      </c>
      <c r="B507" t="s">
        <v>61</v>
      </c>
      <c r="C507">
        <v>2627333</v>
      </c>
      <c r="D507">
        <v>2113080</v>
      </c>
      <c r="E507">
        <v>514253</v>
      </c>
      <c r="G507">
        <v>30622</v>
      </c>
      <c r="H507">
        <v>17006</v>
      </c>
      <c r="I507">
        <v>8.6</v>
      </c>
      <c r="J507">
        <v>6.92</v>
      </c>
      <c r="K507">
        <v>1.68</v>
      </c>
      <c r="M507">
        <v>557</v>
      </c>
      <c r="N507">
        <v>1120</v>
      </c>
      <c r="O507">
        <v>4.0000000000000001E-3</v>
      </c>
      <c r="P507">
        <v>94.44</v>
      </c>
      <c r="R507">
        <f t="shared" si="14"/>
        <v>5.24</v>
      </c>
      <c r="S507" s="3">
        <f t="shared" si="15"/>
        <v>4.2999999999999997E-2</v>
      </c>
    </row>
    <row r="508" spans="1:19" x14ac:dyDescent="0.3">
      <c r="A508" s="5">
        <v>44338</v>
      </c>
      <c r="B508" t="s">
        <v>61</v>
      </c>
      <c r="C508">
        <v>2644648</v>
      </c>
      <c r="D508">
        <v>2113080</v>
      </c>
      <c r="E508">
        <v>531568</v>
      </c>
      <c r="G508">
        <v>17315</v>
      </c>
      <c r="H508">
        <v>18362</v>
      </c>
      <c r="I508">
        <v>8.66</v>
      </c>
      <c r="J508">
        <v>6.92</v>
      </c>
      <c r="K508">
        <v>1.74</v>
      </c>
      <c r="M508">
        <v>601</v>
      </c>
      <c r="N508">
        <v>840</v>
      </c>
      <c r="O508">
        <v>3.0000000000000001E-3</v>
      </c>
      <c r="P508">
        <v>94.44</v>
      </c>
      <c r="R508">
        <f t="shared" si="14"/>
        <v>5.18</v>
      </c>
      <c r="S508" s="3">
        <f t="shared" si="15"/>
        <v>4.3299999999999998E-2</v>
      </c>
    </row>
    <row r="509" spans="1:19" x14ac:dyDescent="0.3">
      <c r="A509" s="5">
        <v>44339</v>
      </c>
      <c r="B509" t="s">
        <v>61</v>
      </c>
      <c r="C509">
        <v>2666669</v>
      </c>
      <c r="D509">
        <v>2113080</v>
      </c>
      <c r="E509">
        <v>553589</v>
      </c>
      <c r="G509">
        <v>22021</v>
      </c>
      <c r="H509">
        <v>20390</v>
      </c>
      <c r="I509">
        <v>8.73</v>
      </c>
      <c r="J509">
        <v>6.92</v>
      </c>
      <c r="K509">
        <v>1.81</v>
      </c>
      <c r="M509">
        <v>667</v>
      </c>
      <c r="N509">
        <v>560</v>
      </c>
      <c r="O509">
        <v>2E-3</v>
      </c>
      <c r="P509">
        <v>94.44</v>
      </c>
      <c r="R509">
        <f t="shared" si="14"/>
        <v>5.1099999999999994</v>
      </c>
      <c r="S509" s="3">
        <f t="shared" si="15"/>
        <v>4.3650000000000001E-2</v>
      </c>
    </row>
    <row r="510" spans="1:19" x14ac:dyDescent="0.3">
      <c r="A510" s="5">
        <v>44340</v>
      </c>
      <c r="B510" t="s">
        <v>61</v>
      </c>
      <c r="C510">
        <v>2706835</v>
      </c>
      <c r="D510">
        <v>2113080</v>
      </c>
      <c r="E510">
        <v>593755</v>
      </c>
      <c r="G510">
        <v>40166</v>
      </c>
      <c r="H510">
        <v>25010</v>
      </c>
      <c r="I510">
        <v>8.86</v>
      </c>
      <c r="J510">
        <v>6.92</v>
      </c>
      <c r="K510">
        <v>1.94</v>
      </c>
      <c r="M510">
        <v>819</v>
      </c>
      <c r="N510">
        <v>280</v>
      </c>
      <c r="O510">
        <v>1E-3</v>
      </c>
      <c r="P510">
        <v>94.44</v>
      </c>
      <c r="R510">
        <f t="shared" si="14"/>
        <v>4.9800000000000004</v>
      </c>
      <c r="S510" s="3">
        <f t="shared" si="15"/>
        <v>4.4299999999999999E-2</v>
      </c>
    </row>
    <row r="511" spans="1:19" x14ac:dyDescent="0.3">
      <c r="A511" s="5">
        <v>44341</v>
      </c>
      <c r="B511" t="s">
        <v>61</v>
      </c>
      <c r="C511">
        <v>2727193</v>
      </c>
      <c r="D511">
        <v>2113080</v>
      </c>
      <c r="E511">
        <v>614113</v>
      </c>
      <c r="G511">
        <v>20358</v>
      </c>
      <c r="H511">
        <v>26800</v>
      </c>
      <c r="I511">
        <v>8.93</v>
      </c>
      <c r="J511">
        <v>6.92</v>
      </c>
      <c r="K511">
        <v>2.0099999999999998</v>
      </c>
      <c r="M511">
        <v>877</v>
      </c>
      <c r="N511">
        <v>0</v>
      </c>
      <c r="O511">
        <v>0</v>
      </c>
      <c r="P511">
        <v>97.22</v>
      </c>
      <c r="R511">
        <f t="shared" si="14"/>
        <v>4.91</v>
      </c>
      <c r="S511" s="3">
        <f t="shared" si="15"/>
        <v>4.4649999999999995E-2</v>
      </c>
    </row>
    <row r="512" spans="1:19" x14ac:dyDescent="0.3">
      <c r="A512" s="5">
        <v>44342</v>
      </c>
      <c r="B512" t="s">
        <v>61</v>
      </c>
      <c r="C512">
        <v>2741964</v>
      </c>
      <c r="D512">
        <v>2113080</v>
      </c>
      <c r="E512">
        <v>628884</v>
      </c>
      <c r="G512">
        <v>14771</v>
      </c>
      <c r="H512">
        <v>24830</v>
      </c>
      <c r="I512">
        <v>8.98</v>
      </c>
      <c r="J512">
        <v>6.92</v>
      </c>
      <c r="K512">
        <v>2.06</v>
      </c>
      <c r="M512">
        <v>813</v>
      </c>
      <c r="N512">
        <v>0</v>
      </c>
      <c r="O512">
        <v>0</v>
      </c>
      <c r="P512">
        <v>97.22</v>
      </c>
      <c r="R512">
        <f t="shared" si="14"/>
        <v>4.8599999999999994</v>
      </c>
      <c r="S512" s="3">
        <f t="shared" si="15"/>
        <v>4.4900000000000002E-2</v>
      </c>
    </row>
    <row r="513" spans="1:19" x14ac:dyDescent="0.3">
      <c r="A513" s="5">
        <v>44343</v>
      </c>
      <c r="B513" t="s">
        <v>61</v>
      </c>
      <c r="C513">
        <v>2761148</v>
      </c>
      <c r="D513">
        <v>2113080</v>
      </c>
      <c r="E513">
        <v>648068</v>
      </c>
      <c r="G513">
        <v>19184</v>
      </c>
      <c r="H513">
        <v>23491</v>
      </c>
      <c r="I513">
        <v>9.0399999999999991</v>
      </c>
      <c r="J513">
        <v>6.92</v>
      </c>
      <c r="K513">
        <v>2.12</v>
      </c>
      <c r="M513">
        <v>769</v>
      </c>
      <c r="N513">
        <v>0</v>
      </c>
      <c r="O513">
        <v>0</v>
      </c>
      <c r="P513">
        <v>97.22</v>
      </c>
      <c r="R513">
        <f t="shared" si="14"/>
        <v>4.8</v>
      </c>
      <c r="S513" s="3">
        <f t="shared" si="15"/>
        <v>4.5199999999999997E-2</v>
      </c>
    </row>
    <row r="514" spans="1:19" x14ac:dyDescent="0.3">
      <c r="A514" s="5">
        <v>44344</v>
      </c>
      <c r="B514" t="s">
        <v>61</v>
      </c>
      <c r="C514">
        <v>2767931</v>
      </c>
      <c r="D514">
        <v>2113080</v>
      </c>
      <c r="E514">
        <v>654851</v>
      </c>
      <c r="G514">
        <v>6783</v>
      </c>
      <c r="H514">
        <v>20085</v>
      </c>
      <c r="I514">
        <v>9.06</v>
      </c>
      <c r="J514">
        <v>6.92</v>
      </c>
      <c r="K514">
        <v>2.14</v>
      </c>
      <c r="M514">
        <v>657</v>
      </c>
      <c r="N514">
        <v>0</v>
      </c>
      <c r="O514">
        <v>0</v>
      </c>
      <c r="P514">
        <v>97.22</v>
      </c>
      <c r="R514">
        <f t="shared" si="14"/>
        <v>4.7799999999999994</v>
      </c>
      <c r="S514" s="3">
        <f t="shared" si="15"/>
        <v>4.5299999999999993E-2</v>
      </c>
    </row>
    <row r="515" spans="1:19" x14ac:dyDescent="0.3">
      <c r="A515" s="5">
        <v>44345</v>
      </c>
      <c r="B515" t="s">
        <v>61</v>
      </c>
      <c r="C515">
        <v>2800019</v>
      </c>
      <c r="D515">
        <v>2113080</v>
      </c>
      <c r="E515">
        <v>686939</v>
      </c>
      <c r="G515">
        <v>32088</v>
      </c>
      <c r="H515">
        <v>22196</v>
      </c>
      <c r="I515">
        <v>9.17</v>
      </c>
      <c r="J515">
        <v>6.92</v>
      </c>
      <c r="K515">
        <v>2.25</v>
      </c>
      <c r="M515">
        <v>727</v>
      </c>
      <c r="N515">
        <v>0</v>
      </c>
      <c r="O515">
        <v>0</v>
      </c>
      <c r="P515">
        <v>97.22</v>
      </c>
      <c r="R515">
        <f t="shared" si="14"/>
        <v>4.67</v>
      </c>
      <c r="S515" s="3">
        <f t="shared" si="15"/>
        <v>4.5850000000000002E-2</v>
      </c>
    </row>
    <row r="516" spans="1:19" x14ac:dyDescent="0.3">
      <c r="A516" s="5">
        <v>44346</v>
      </c>
      <c r="B516" t="s">
        <v>61</v>
      </c>
      <c r="C516">
        <v>2802596</v>
      </c>
      <c r="D516">
        <v>2113080</v>
      </c>
      <c r="E516">
        <v>689516</v>
      </c>
      <c r="G516">
        <v>2577</v>
      </c>
      <c r="H516">
        <v>19418</v>
      </c>
      <c r="I516">
        <v>9.17</v>
      </c>
      <c r="J516">
        <v>6.92</v>
      </c>
      <c r="K516">
        <v>2.2599999999999998</v>
      </c>
      <c r="M516">
        <v>636</v>
      </c>
      <c r="N516">
        <v>0</v>
      </c>
      <c r="O516">
        <v>0</v>
      </c>
      <c r="P516">
        <v>97.22</v>
      </c>
      <c r="R516">
        <f t="shared" si="14"/>
        <v>4.66</v>
      </c>
      <c r="S516" s="3">
        <f t="shared" si="15"/>
        <v>4.5899999999999996E-2</v>
      </c>
    </row>
    <row r="517" spans="1:19" x14ac:dyDescent="0.3">
      <c r="A517" s="5">
        <v>44347</v>
      </c>
      <c r="B517" t="s">
        <v>61</v>
      </c>
      <c r="H517">
        <v>13721</v>
      </c>
      <c r="M517">
        <v>449</v>
      </c>
      <c r="N517">
        <v>0</v>
      </c>
      <c r="O517">
        <v>0</v>
      </c>
      <c r="P517">
        <v>97.22</v>
      </c>
      <c r="R517">
        <f t="shared" si="14"/>
        <v>0</v>
      </c>
      <c r="S517" s="3">
        <f t="shared" si="15"/>
        <v>0</v>
      </c>
    </row>
    <row r="518" spans="1:19" x14ac:dyDescent="0.3">
      <c r="A518" s="5">
        <v>44348</v>
      </c>
      <c r="B518" t="s">
        <v>61</v>
      </c>
      <c r="H518">
        <v>10853</v>
      </c>
      <c r="M518">
        <v>355</v>
      </c>
      <c r="N518">
        <v>0</v>
      </c>
      <c r="O518">
        <v>0</v>
      </c>
      <c r="P518">
        <v>94.44</v>
      </c>
      <c r="R518">
        <f t="shared" ref="R518:R581" si="16">J518-K518</f>
        <v>0</v>
      </c>
      <c r="S518" s="3">
        <f t="shared" ref="S518:S581" si="17">MIN(1, (0.5*MAX(R518,0) + 1*K518)/100 )</f>
        <v>0</v>
      </c>
    </row>
    <row r="519" spans="1:19" x14ac:dyDescent="0.3">
      <c r="A519" s="5">
        <v>44349</v>
      </c>
      <c r="B519" t="s">
        <v>61</v>
      </c>
      <c r="H519">
        <v>8783</v>
      </c>
      <c r="M519">
        <v>288</v>
      </c>
      <c r="N519">
        <v>0</v>
      </c>
      <c r="O519">
        <v>0</v>
      </c>
      <c r="P519">
        <v>94.44</v>
      </c>
      <c r="R519">
        <f t="shared" si="16"/>
        <v>0</v>
      </c>
      <c r="S519" s="3">
        <f t="shared" si="17"/>
        <v>0</v>
      </c>
    </row>
    <row r="520" spans="1:19" x14ac:dyDescent="0.3">
      <c r="A520" s="5">
        <v>44350</v>
      </c>
      <c r="B520" t="s">
        <v>61</v>
      </c>
      <c r="H520">
        <v>6083</v>
      </c>
      <c r="M520">
        <v>199</v>
      </c>
      <c r="N520">
        <v>0</v>
      </c>
      <c r="O520">
        <v>0</v>
      </c>
      <c r="P520">
        <v>94.44</v>
      </c>
      <c r="R520">
        <f t="shared" si="16"/>
        <v>0</v>
      </c>
      <c r="S520" s="3">
        <f t="shared" si="17"/>
        <v>0</v>
      </c>
    </row>
    <row r="521" spans="1:19" x14ac:dyDescent="0.3">
      <c r="A521" s="5">
        <v>44351</v>
      </c>
      <c r="B521" t="s">
        <v>61</v>
      </c>
      <c r="H521">
        <v>5154</v>
      </c>
      <c r="M521">
        <v>169</v>
      </c>
      <c r="N521">
        <v>0</v>
      </c>
      <c r="O521">
        <v>0</v>
      </c>
      <c r="P521">
        <v>94.44</v>
      </c>
      <c r="R521">
        <f t="shared" si="16"/>
        <v>0</v>
      </c>
      <c r="S521" s="3">
        <f t="shared" si="17"/>
        <v>0</v>
      </c>
    </row>
    <row r="522" spans="1:19" x14ac:dyDescent="0.3">
      <c r="A522" s="5">
        <v>44352</v>
      </c>
      <c r="B522" t="s">
        <v>61</v>
      </c>
      <c r="H522">
        <v>610</v>
      </c>
      <c r="M522">
        <v>20</v>
      </c>
      <c r="N522">
        <v>0</v>
      </c>
      <c r="O522">
        <v>0</v>
      </c>
      <c r="P522">
        <v>94.44</v>
      </c>
      <c r="R522">
        <f t="shared" si="16"/>
        <v>0</v>
      </c>
      <c r="S522" s="3">
        <f t="shared" si="17"/>
        <v>0</v>
      </c>
    </row>
    <row r="523" spans="1:19" x14ac:dyDescent="0.3">
      <c r="A523" s="5">
        <v>44353</v>
      </c>
      <c r="B523" t="s">
        <v>61</v>
      </c>
      <c r="C523">
        <v>2804574</v>
      </c>
      <c r="D523">
        <v>2113080</v>
      </c>
      <c r="E523">
        <v>691494</v>
      </c>
      <c r="H523">
        <v>283</v>
      </c>
      <c r="I523">
        <v>9.18</v>
      </c>
      <c r="J523">
        <v>6.92</v>
      </c>
      <c r="K523">
        <v>2.2599999999999998</v>
      </c>
      <c r="M523">
        <v>9</v>
      </c>
      <c r="N523">
        <v>0</v>
      </c>
      <c r="O523">
        <v>0</v>
      </c>
      <c r="P523">
        <v>94.44</v>
      </c>
      <c r="R523">
        <f t="shared" si="16"/>
        <v>4.66</v>
      </c>
      <c r="S523" s="3">
        <f t="shared" si="17"/>
        <v>4.5899999999999996E-2</v>
      </c>
    </row>
    <row r="524" spans="1:19" x14ac:dyDescent="0.3">
      <c r="A524" s="5">
        <v>44354</v>
      </c>
      <c r="B524" t="s">
        <v>61</v>
      </c>
      <c r="H524">
        <v>2944</v>
      </c>
      <c r="M524">
        <v>96</v>
      </c>
      <c r="N524">
        <v>2702</v>
      </c>
      <c r="O524">
        <v>8.9999999999999993E-3</v>
      </c>
      <c r="P524">
        <v>94.44</v>
      </c>
      <c r="R524">
        <f t="shared" si="16"/>
        <v>0</v>
      </c>
      <c r="S524" s="3">
        <f t="shared" si="17"/>
        <v>0</v>
      </c>
    </row>
    <row r="525" spans="1:19" x14ac:dyDescent="0.3">
      <c r="A525" s="5">
        <v>44355</v>
      </c>
      <c r="B525" t="s">
        <v>61</v>
      </c>
      <c r="H525">
        <v>5606</v>
      </c>
      <c r="M525">
        <v>184</v>
      </c>
      <c r="N525">
        <v>5404</v>
      </c>
      <c r="O525">
        <v>1.7999999999999999E-2</v>
      </c>
      <c r="P525">
        <v>85.65</v>
      </c>
      <c r="R525">
        <f t="shared" si="16"/>
        <v>0</v>
      </c>
      <c r="S525" s="3">
        <f t="shared" si="17"/>
        <v>0</v>
      </c>
    </row>
    <row r="526" spans="1:19" x14ac:dyDescent="0.3">
      <c r="A526" s="5">
        <v>44356</v>
      </c>
      <c r="B526" t="s">
        <v>61</v>
      </c>
      <c r="C526">
        <v>2861314</v>
      </c>
      <c r="D526">
        <v>2169820</v>
      </c>
      <c r="E526">
        <v>691494</v>
      </c>
      <c r="H526">
        <v>8267</v>
      </c>
      <c r="I526">
        <v>9.3699999999999992</v>
      </c>
      <c r="J526">
        <v>7.1</v>
      </c>
      <c r="K526">
        <v>2.2599999999999998</v>
      </c>
      <c r="M526">
        <v>271</v>
      </c>
      <c r="N526">
        <v>8106</v>
      </c>
      <c r="O526">
        <v>2.7E-2</v>
      </c>
      <c r="P526">
        <v>85.65</v>
      </c>
      <c r="R526">
        <f t="shared" si="16"/>
        <v>4.84</v>
      </c>
      <c r="S526" s="3">
        <f t="shared" si="17"/>
        <v>4.6799999999999994E-2</v>
      </c>
    </row>
    <row r="527" spans="1:19" x14ac:dyDescent="0.3">
      <c r="A527" s="5">
        <v>44357</v>
      </c>
      <c r="B527" t="s">
        <v>61</v>
      </c>
      <c r="C527">
        <v>2936113</v>
      </c>
      <c r="D527">
        <v>2244619</v>
      </c>
      <c r="E527">
        <v>691494</v>
      </c>
      <c r="G527">
        <v>74799</v>
      </c>
      <c r="H527">
        <v>18912</v>
      </c>
      <c r="I527">
        <v>9.61</v>
      </c>
      <c r="J527">
        <v>7.35</v>
      </c>
      <c r="K527">
        <v>2.2599999999999998</v>
      </c>
      <c r="M527">
        <v>619</v>
      </c>
      <c r="N527">
        <v>18791</v>
      </c>
      <c r="O527">
        <v>6.2E-2</v>
      </c>
      <c r="P527">
        <v>85.65</v>
      </c>
      <c r="R527">
        <f t="shared" si="16"/>
        <v>5.09</v>
      </c>
      <c r="S527" s="3">
        <f t="shared" si="17"/>
        <v>4.8049999999999995E-2</v>
      </c>
    </row>
    <row r="528" spans="1:19" x14ac:dyDescent="0.3">
      <c r="A528" s="5">
        <v>44358</v>
      </c>
      <c r="B528" t="s">
        <v>61</v>
      </c>
      <c r="H528">
        <v>28763</v>
      </c>
      <c r="M528">
        <v>942</v>
      </c>
      <c r="N528">
        <v>28683</v>
      </c>
      <c r="O528">
        <v>9.4E-2</v>
      </c>
      <c r="P528">
        <v>85.65</v>
      </c>
      <c r="R528">
        <f t="shared" si="16"/>
        <v>0</v>
      </c>
      <c r="S528" s="3">
        <f t="shared" si="17"/>
        <v>0</v>
      </c>
    </row>
    <row r="529" spans="1:19" x14ac:dyDescent="0.3">
      <c r="A529" s="5">
        <v>44359</v>
      </c>
      <c r="B529" t="s">
        <v>61</v>
      </c>
      <c r="C529">
        <v>3074592</v>
      </c>
      <c r="D529">
        <v>2383098</v>
      </c>
      <c r="E529">
        <v>691494</v>
      </c>
      <c r="H529">
        <v>38614</v>
      </c>
      <c r="I529">
        <v>10.06</v>
      </c>
      <c r="J529">
        <v>7.8</v>
      </c>
      <c r="K529">
        <v>2.2599999999999998</v>
      </c>
      <c r="M529">
        <v>1264</v>
      </c>
      <c r="N529">
        <v>38574</v>
      </c>
      <c r="O529">
        <v>0.126</v>
      </c>
      <c r="P529">
        <v>85.65</v>
      </c>
      <c r="R529">
        <f t="shared" si="16"/>
        <v>5.54</v>
      </c>
      <c r="S529" s="3">
        <f t="shared" si="17"/>
        <v>5.0299999999999991E-2</v>
      </c>
    </row>
    <row r="530" spans="1:19" x14ac:dyDescent="0.3">
      <c r="A530" s="5">
        <v>44360</v>
      </c>
      <c r="B530" t="s">
        <v>61</v>
      </c>
      <c r="H530">
        <v>41194</v>
      </c>
      <c r="M530">
        <v>1349</v>
      </c>
      <c r="N530">
        <v>41194</v>
      </c>
      <c r="O530">
        <v>0.13500000000000001</v>
      </c>
      <c r="P530">
        <v>85.65</v>
      </c>
      <c r="R530">
        <f t="shared" si="16"/>
        <v>0</v>
      </c>
      <c r="S530" s="3">
        <f t="shared" si="17"/>
        <v>0</v>
      </c>
    </row>
    <row r="531" spans="1:19" x14ac:dyDescent="0.3">
      <c r="A531" s="5">
        <v>44361</v>
      </c>
      <c r="B531" t="s">
        <v>61</v>
      </c>
      <c r="H531">
        <v>41113</v>
      </c>
      <c r="M531">
        <v>1346</v>
      </c>
      <c r="N531">
        <v>41113</v>
      </c>
      <c r="O531">
        <v>0.13500000000000001</v>
      </c>
      <c r="P531">
        <v>84.26</v>
      </c>
      <c r="R531">
        <f t="shared" si="16"/>
        <v>0</v>
      </c>
      <c r="S531" s="3">
        <f t="shared" si="17"/>
        <v>0</v>
      </c>
    </row>
    <row r="532" spans="1:19" x14ac:dyDescent="0.3">
      <c r="A532" s="5">
        <v>44362</v>
      </c>
      <c r="B532" t="s">
        <v>61</v>
      </c>
      <c r="C532">
        <v>3129621</v>
      </c>
      <c r="D532">
        <v>2438127</v>
      </c>
      <c r="E532">
        <v>691494</v>
      </c>
      <c r="H532">
        <v>41031</v>
      </c>
      <c r="I532">
        <v>10.25</v>
      </c>
      <c r="J532">
        <v>7.98</v>
      </c>
      <c r="K532">
        <v>2.2599999999999998</v>
      </c>
      <c r="M532">
        <v>1343</v>
      </c>
      <c r="N532">
        <v>41031</v>
      </c>
      <c r="O532">
        <v>0.13400000000000001</v>
      </c>
      <c r="P532">
        <v>84.26</v>
      </c>
      <c r="R532">
        <f t="shared" si="16"/>
        <v>5.7200000000000006</v>
      </c>
      <c r="S532" s="3">
        <f t="shared" si="17"/>
        <v>5.1200000000000002E-2</v>
      </c>
    </row>
    <row r="533" spans="1:19" x14ac:dyDescent="0.3">
      <c r="A533" s="5">
        <v>44363</v>
      </c>
      <c r="B533" t="s">
        <v>61</v>
      </c>
      <c r="C533">
        <v>3153419</v>
      </c>
      <c r="D533">
        <v>2461925</v>
      </c>
      <c r="E533">
        <v>691494</v>
      </c>
      <c r="G533">
        <v>23798</v>
      </c>
      <c r="H533">
        <v>41729</v>
      </c>
      <c r="I533">
        <v>10.32</v>
      </c>
      <c r="J533">
        <v>8.06</v>
      </c>
      <c r="K533">
        <v>2.2599999999999998</v>
      </c>
      <c r="M533">
        <v>1366</v>
      </c>
      <c r="N533">
        <v>41729</v>
      </c>
      <c r="O533">
        <v>0.13700000000000001</v>
      </c>
      <c r="P533">
        <v>84.26</v>
      </c>
      <c r="R533">
        <f t="shared" si="16"/>
        <v>5.8000000000000007</v>
      </c>
      <c r="S533" s="3">
        <f t="shared" si="17"/>
        <v>5.16E-2</v>
      </c>
    </row>
    <row r="534" spans="1:19" x14ac:dyDescent="0.3">
      <c r="A534" s="5">
        <v>44364</v>
      </c>
      <c r="B534" t="s">
        <v>61</v>
      </c>
      <c r="H534">
        <v>34778</v>
      </c>
      <c r="M534">
        <v>1138</v>
      </c>
      <c r="N534">
        <v>32866</v>
      </c>
      <c r="O534">
        <v>0.108</v>
      </c>
      <c r="P534">
        <v>84.26</v>
      </c>
      <c r="R534">
        <f t="shared" si="16"/>
        <v>0</v>
      </c>
      <c r="S534" s="3">
        <f t="shared" si="17"/>
        <v>0</v>
      </c>
    </row>
    <row r="535" spans="1:19" x14ac:dyDescent="0.3">
      <c r="A535" s="5">
        <v>44365</v>
      </c>
      <c r="B535" t="s">
        <v>61</v>
      </c>
      <c r="H535">
        <v>28622</v>
      </c>
      <c r="M535">
        <v>937</v>
      </c>
      <c r="N535">
        <v>24797</v>
      </c>
      <c r="O535">
        <v>8.1000000000000003E-2</v>
      </c>
      <c r="P535">
        <v>84.26</v>
      </c>
      <c r="R535">
        <f t="shared" si="16"/>
        <v>0</v>
      </c>
      <c r="S535" s="3">
        <f t="shared" si="17"/>
        <v>0</v>
      </c>
    </row>
    <row r="536" spans="1:19" x14ac:dyDescent="0.3">
      <c r="A536" s="5">
        <v>44366</v>
      </c>
      <c r="B536" t="s">
        <v>61</v>
      </c>
      <c r="C536">
        <v>3231849</v>
      </c>
      <c r="D536">
        <v>2500196</v>
      </c>
      <c r="E536">
        <v>731653</v>
      </c>
      <c r="H536">
        <v>22465</v>
      </c>
      <c r="I536">
        <v>10.58</v>
      </c>
      <c r="J536">
        <v>8.18</v>
      </c>
      <c r="K536">
        <v>2.4</v>
      </c>
      <c r="M536">
        <v>735</v>
      </c>
      <c r="N536">
        <v>16728</v>
      </c>
      <c r="O536">
        <v>5.5E-2</v>
      </c>
      <c r="P536">
        <v>84.26</v>
      </c>
      <c r="R536">
        <f t="shared" si="16"/>
        <v>5.7799999999999994</v>
      </c>
      <c r="S536" s="3">
        <f t="shared" si="17"/>
        <v>5.2899999999999989E-2</v>
      </c>
    </row>
    <row r="537" spans="1:19" x14ac:dyDescent="0.3">
      <c r="A537" s="5">
        <v>44367</v>
      </c>
      <c r="B537" t="s">
        <v>61</v>
      </c>
      <c r="H537">
        <v>21888</v>
      </c>
      <c r="M537">
        <v>717</v>
      </c>
      <c r="N537">
        <v>15785</v>
      </c>
      <c r="O537">
        <v>5.1999999999999998E-2</v>
      </c>
      <c r="P537">
        <v>84.26</v>
      </c>
      <c r="R537">
        <f t="shared" si="16"/>
        <v>0</v>
      </c>
      <c r="S537" s="3">
        <f t="shared" si="17"/>
        <v>0</v>
      </c>
    </row>
    <row r="538" spans="1:19" x14ac:dyDescent="0.3">
      <c r="A538" s="5">
        <v>44368</v>
      </c>
      <c r="B538" t="s">
        <v>61</v>
      </c>
      <c r="H538">
        <v>21311</v>
      </c>
      <c r="M538">
        <v>698</v>
      </c>
      <c r="N538">
        <v>14842</v>
      </c>
      <c r="O538">
        <v>4.9000000000000002E-2</v>
      </c>
      <c r="P538">
        <v>84.26</v>
      </c>
      <c r="R538">
        <f t="shared" si="16"/>
        <v>0</v>
      </c>
      <c r="S538" s="3">
        <f t="shared" si="17"/>
        <v>0</v>
      </c>
    </row>
    <row r="539" spans="1:19" x14ac:dyDescent="0.3">
      <c r="A539" s="5">
        <v>44369</v>
      </c>
      <c r="B539" t="s">
        <v>61</v>
      </c>
      <c r="H539">
        <v>20733</v>
      </c>
      <c r="M539">
        <v>679</v>
      </c>
      <c r="N539">
        <v>13898</v>
      </c>
      <c r="O539">
        <v>4.4999999999999998E-2</v>
      </c>
      <c r="P539">
        <v>80.56</v>
      </c>
      <c r="R539">
        <f t="shared" si="16"/>
        <v>0</v>
      </c>
      <c r="S539" s="3">
        <f t="shared" si="17"/>
        <v>0</v>
      </c>
    </row>
    <row r="540" spans="1:19" x14ac:dyDescent="0.3">
      <c r="A540" s="5">
        <v>44370</v>
      </c>
      <c r="B540" t="s">
        <v>61</v>
      </c>
      <c r="H540">
        <v>19377</v>
      </c>
      <c r="M540">
        <v>634</v>
      </c>
      <c r="N540">
        <v>12176</v>
      </c>
      <c r="O540">
        <v>0.04</v>
      </c>
      <c r="P540">
        <v>80.56</v>
      </c>
      <c r="R540">
        <f t="shared" si="16"/>
        <v>0</v>
      </c>
      <c r="S540" s="3">
        <f t="shared" si="17"/>
        <v>0</v>
      </c>
    </row>
    <row r="541" spans="1:19" x14ac:dyDescent="0.3">
      <c r="A541" s="5">
        <v>44371</v>
      </c>
      <c r="B541" t="s">
        <v>61</v>
      </c>
      <c r="H541">
        <v>17685</v>
      </c>
      <c r="M541">
        <v>579</v>
      </c>
      <c r="N541">
        <v>12030</v>
      </c>
      <c r="O541">
        <v>3.9E-2</v>
      </c>
      <c r="P541">
        <v>80.56</v>
      </c>
      <c r="R541">
        <f t="shared" si="16"/>
        <v>0</v>
      </c>
      <c r="S541" s="3">
        <f t="shared" si="17"/>
        <v>0</v>
      </c>
    </row>
    <row r="542" spans="1:19" x14ac:dyDescent="0.3">
      <c r="A542" s="5">
        <v>44372</v>
      </c>
      <c r="B542" t="s">
        <v>61</v>
      </c>
      <c r="H542">
        <v>15993</v>
      </c>
      <c r="M542">
        <v>524</v>
      </c>
      <c r="N542">
        <v>11885</v>
      </c>
      <c r="O542">
        <v>3.9E-2</v>
      </c>
      <c r="P542">
        <v>80.56</v>
      </c>
      <c r="R542">
        <f t="shared" si="16"/>
        <v>0</v>
      </c>
      <c r="S542" s="3">
        <f t="shared" si="17"/>
        <v>0</v>
      </c>
    </row>
    <row r="543" spans="1:19" x14ac:dyDescent="0.3">
      <c r="A543" s="5">
        <v>44373</v>
      </c>
      <c r="B543" t="s">
        <v>61</v>
      </c>
      <c r="C543">
        <v>3331960</v>
      </c>
      <c r="D543">
        <v>2582375</v>
      </c>
      <c r="E543">
        <v>749585</v>
      </c>
      <c r="H543">
        <v>14302</v>
      </c>
      <c r="I543">
        <v>10.91</v>
      </c>
      <c r="J543">
        <v>8.4499999999999993</v>
      </c>
      <c r="K543">
        <v>2.4500000000000002</v>
      </c>
      <c r="M543">
        <v>468</v>
      </c>
      <c r="N543">
        <v>11740</v>
      </c>
      <c r="O543">
        <v>3.7999999999999999E-2</v>
      </c>
      <c r="P543">
        <v>80.56</v>
      </c>
      <c r="R543">
        <f t="shared" si="16"/>
        <v>5.9999999999999991</v>
      </c>
      <c r="S543" s="3">
        <f t="shared" si="17"/>
        <v>5.4499999999999993E-2</v>
      </c>
    </row>
    <row r="544" spans="1:19" x14ac:dyDescent="0.3">
      <c r="A544" s="5">
        <v>44374</v>
      </c>
      <c r="B544" t="s">
        <v>61</v>
      </c>
      <c r="C544">
        <v>3333921</v>
      </c>
      <c r="D544">
        <v>2583790</v>
      </c>
      <c r="E544">
        <v>750131</v>
      </c>
      <c r="G544">
        <v>1961</v>
      </c>
      <c r="H544">
        <v>12539</v>
      </c>
      <c r="I544">
        <v>10.91</v>
      </c>
      <c r="J544">
        <v>8.4600000000000009</v>
      </c>
      <c r="K544">
        <v>2.46</v>
      </c>
      <c r="M544">
        <v>410</v>
      </c>
      <c r="N544">
        <v>10265</v>
      </c>
      <c r="O544">
        <v>3.4000000000000002E-2</v>
      </c>
      <c r="P544">
        <v>80.56</v>
      </c>
      <c r="R544">
        <f t="shared" si="16"/>
        <v>6.0000000000000009</v>
      </c>
      <c r="S544" s="3">
        <f t="shared" si="17"/>
        <v>5.460000000000001E-2</v>
      </c>
    </row>
    <row r="545" spans="1:19" x14ac:dyDescent="0.3">
      <c r="A545" s="5">
        <v>44375</v>
      </c>
      <c r="B545" t="s">
        <v>61</v>
      </c>
      <c r="C545">
        <v>3339983</v>
      </c>
      <c r="D545">
        <v>2587873</v>
      </c>
      <c r="E545">
        <v>752110</v>
      </c>
      <c r="G545">
        <v>6062</v>
      </c>
      <c r="H545">
        <v>11362</v>
      </c>
      <c r="I545">
        <v>10.93</v>
      </c>
      <c r="J545">
        <v>8.4700000000000006</v>
      </c>
      <c r="K545">
        <v>2.46</v>
      </c>
      <c r="M545">
        <v>372</v>
      </c>
      <c r="N545">
        <v>9171</v>
      </c>
      <c r="O545">
        <v>0.03</v>
      </c>
      <c r="P545">
        <v>80.56</v>
      </c>
      <c r="R545">
        <f t="shared" si="16"/>
        <v>6.0100000000000007</v>
      </c>
      <c r="S545" s="3">
        <f t="shared" si="17"/>
        <v>5.4649999999999997E-2</v>
      </c>
    </row>
    <row r="546" spans="1:19" x14ac:dyDescent="0.3">
      <c r="A546" s="5">
        <v>44376</v>
      </c>
      <c r="B546" t="s">
        <v>61</v>
      </c>
      <c r="C546">
        <v>3354095</v>
      </c>
      <c r="D546">
        <v>2599553</v>
      </c>
      <c r="E546">
        <v>754542</v>
      </c>
      <c r="G546">
        <v>14112</v>
      </c>
      <c r="H546">
        <v>11334</v>
      </c>
      <c r="I546">
        <v>10.98</v>
      </c>
      <c r="J546">
        <v>8.51</v>
      </c>
      <c r="K546">
        <v>2.4700000000000002</v>
      </c>
      <c r="M546">
        <v>371</v>
      </c>
      <c r="N546">
        <v>9162</v>
      </c>
      <c r="O546">
        <v>0.03</v>
      </c>
      <c r="P546">
        <v>68.52</v>
      </c>
      <c r="R546">
        <f t="shared" si="16"/>
        <v>6.0399999999999991</v>
      </c>
      <c r="S546" s="3">
        <f t="shared" si="17"/>
        <v>5.4900000000000004E-2</v>
      </c>
    </row>
    <row r="547" spans="1:19" x14ac:dyDescent="0.3">
      <c r="A547" s="5">
        <v>44377</v>
      </c>
      <c r="B547" t="s">
        <v>61</v>
      </c>
      <c r="C547">
        <v>3356335</v>
      </c>
      <c r="D547">
        <v>2601316</v>
      </c>
      <c r="E547">
        <v>755019</v>
      </c>
      <c r="G547">
        <v>2240</v>
      </c>
      <c r="H547">
        <v>9611</v>
      </c>
      <c r="I547">
        <v>10.99</v>
      </c>
      <c r="J547">
        <v>8.52</v>
      </c>
      <c r="K547">
        <v>2.4700000000000002</v>
      </c>
      <c r="M547">
        <v>315</v>
      </c>
      <c r="N547">
        <v>7737</v>
      </c>
      <c r="O547">
        <v>2.5000000000000001E-2</v>
      </c>
      <c r="P547">
        <v>68.52</v>
      </c>
      <c r="R547">
        <f t="shared" si="16"/>
        <v>6.0499999999999989</v>
      </c>
      <c r="S547" s="3">
        <f t="shared" si="17"/>
        <v>5.4949999999999992E-2</v>
      </c>
    </row>
    <row r="548" spans="1:19" x14ac:dyDescent="0.3">
      <c r="A548" s="5">
        <v>44378</v>
      </c>
      <c r="B548" t="s">
        <v>61</v>
      </c>
      <c r="C548">
        <v>3361468</v>
      </c>
      <c r="D548">
        <v>2604866</v>
      </c>
      <c r="E548">
        <v>756602</v>
      </c>
      <c r="G548">
        <v>5133</v>
      </c>
      <c r="H548">
        <v>8302</v>
      </c>
      <c r="I548">
        <v>11</v>
      </c>
      <c r="J548">
        <v>8.5299999999999994</v>
      </c>
      <c r="K548">
        <v>2.48</v>
      </c>
      <c r="M548">
        <v>272</v>
      </c>
      <c r="N548">
        <v>6567</v>
      </c>
      <c r="O548">
        <v>2.1000000000000001E-2</v>
      </c>
      <c r="P548">
        <v>68.52</v>
      </c>
      <c r="R548">
        <f t="shared" si="16"/>
        <v>6.0499999999999989</v>
      </c>
      <c r="S548" s="3">
        <f t="shared" si="17"/>
        <v>5.5049999999999988E-2</v>
      </c>
    </row>
    <row r="549" spans="1:19" x14ac:dyDescent="0.3">
      <c r="A549" s="5">
        <v>44379</v>
      </c>
      <c r="B549" t="s">
        <v>61</v>
      </c>
      <c r="H549">
        <v>6356</v>
      </c>
      <c r="M549">
        <v>208</v>
      </c>
      <c r="N549">
        <v>4890</v>
      </c>
      <c r="O549">
        <v>1.6E-2</v>
      </c>
      <c r="P549">
        <v>68.52</v>
      </c>
      <c r="R549">
        <f t="shared" si="16"/>
        <v>0</v>
      </c>
      <c r="S549" s="3">
        <f t="shared" si="17"/>
        <v>0</v>
      </c>
    </row>
    <row r="550" spans="1:19" x14ac:dyDescent="0.3">
      <c r="A550" s="5">
        <v>44380</v>
      </c>
      <c r="B550" t="s">
        <v>61</v>
      </c>
      <c r="C550">
        <v>3362828</v>
      </c>
      <c r="D550">
        <v>2604866</v>
      </c>
      <c r="E550">
        <v>757962</v>
      </c>
      <c r="H550">
        <v>4410</v>
      </c>
      <c r="I550">
        <v>11.01</v>
      </c>
      <c r="J550">
        <v>8.5299999999999994</v>
      </c>
      <c r="K550">
        <v>2.48</v>
      </c>
      <c r="M550">
        <v>144</v>
      </c>
      <c r="N550">
        <v>3213</v>
      </c>
      <c r="O550">
        <v>1.0999999999999999E-2</v>
      </c>
      <c r="P550">
        <v>68.52</v>
      </c>
      <c r="R550">
        <f t="shared" si="16"/>
        <v>6.0499999999999989</v>
      </c>
      <c r="S550" s="3">
        <f t="shared" si="17"/>
        <v>5.5049999999999988E-2</v>
      </c>
    </row>
    <row r="551" spans="1:19" x14ac:dyDescent="0.3">
      <c r="A551" s="5">
        <v>44381</v>
      </c>
      <c r="B551" t="s">
        <v>61</v>
      </c>
      <c r="C551">
        <v>3364051</v>
      </c>
      <c r="D551">
        <v>2606005</v>
      </c>
      <c r="E551">
        <v>758046</v>
      </c>
      <c r="G551">
        <v>1223</v>
      </c>
      <c r="H551">
        <v>4304</v>
      </c>
      <c r="I551">
        <v>11.01</v>
      </c>
      <c r="J551">
        <v>8.5299999999999994</v>
      </c>
      <c r="K551">
        <v>2.48</v>
      </c>
      <c r="M551">
        <v>141</v>
      </c>
      <c r="N551">
        <v>3174</v>
      </c>
      <c r="O551">
        <v>0.01</v>
      </c>
      <c r="P551">
        <v>52.78</v>
      </c>
      <c r="R551">
        <f t="shared" si="16"/>
        <v>6.0499999999999989</v>
      </c>
      <c r="S551" s="3">
        <f t="shared" si="17"/>
        <v>5.5049999999999988E-2</v>
      </c>
    </row>
    <row r="552" spans="1:19" x14ac:dyDescent="0.3">
      <c r="A552" s="5">
        <v>44382</v>
      </c>
      <c r="B552" t="s">
        <v>61</v>
      </c>
      <c r="C552">
        <v>3371761</v>
      </c>
      <c r="D552">
        <v>2611807</v>
      </c>
      <c r="E552">
        <v>759954</v>
      </c>
      <c r="G552">
        <v>7710</v>
      </c>
      <c r="H552">
        <v>4540</v>
      </c>
      <c r="I552">
        <v>11.04</v>
      </c>
      <c r="J552">
        <v>8.5500000000000007</v>
      </c>
      <c r="K552">
        <v>2.4900000000000002</v>
      </c>
      <c r="M552">
        <v>149</v>
      </c>
      <c r="N552">
        <v>3419</v>
      </c>
      <c r="O552">
        <v>1.0999999999999999E-2</v>
      </c>
      <c r="P552">
        <v>52.78</v>
      </c>
      <c r="R552">
        <f t="shared" si="16"/>
        <v>6.0600000000000005</v>
      </c>
      <c r="S552" s="3">
        <f t="shared" si="17"/>
        <v>5.5200000000000006E-2</v>
      </c>
    </row>
    <row r="553" spans="1:19" x14ac:dyDescent="0.3">
      <c r="A553" s="5">
        <v>44383</v>
      </c>
      <c r="B553" t="s">
        <v>61</v>
      </c>
      <c r="H553">
        <v>9048</v>
      </c>
      <c r="M553">
        <v>296</v>
      </c>
      <c r="N553">
        <v>1751</v>
      </c>
      <c r="O553">
        <v>6.0000000000000001E-3</v>
      </c>
      <c r="P553">
        <v>52.78</v>
      </c>
      <c r="R553">
        <f t="shared" si="16"/>
        <v>0</v>
      </c>
      <c r="S553" s="3">
        <f t="shared" si="17"/>
        <v>0</v>
      </c>
    </row>
    <row r="554" spans="1:19" x14ac:dyDescent="0.3">
      <c r="A554" s="5">
        <v>44384</v>
      </c>
      <c r="B554" t="s">
        <v>61</v>
      </c>
      <c r="C554">
        <v>3463107</v>
      </c>
      <c r="D554">
        <v>2611807</v>
      </c>
      <c r="E554">
        <v>851300</v>
      </c>
      <c r="H554">
        <v>15253</v>
      </c>
      <c r="I554">
        <v>11.34</v>
      </c>
      <c r="J554">
        <v>8.5500000000000007</v>
      </c>
      <c r="K554">
        <v>2.79</v>
      </c>
      <c r="M554">
        <v>499</v>
      </c>
      <c r="N554">
        <v>1499</v>
      </c>
      <c r="O554">
        <v>5.0000000000000001E-3</v>
      </c>
      <c r="P554">
        <v>52.78</v>
      </c>
      <c r="R554">
        <f t="shared" si="16"/>
        <v>5.7600000000000007</v>
      </c>
      <c r="S554" s="3">
        <f t="shared" si="17"/>
        <v>5.67E-2</v>
      </c>
    </row>
    <row r="555" spans="1:19" x14ac:dyDescent="0.3">
      <c r="A555" s="5">
        <v>44385</v>
      </c>
      <c r="B555" t="s">
        <v>61</v>
      </c>
      <c r="H555">
        <v>22606</v>
      </c>
      <c r="M555">
        <v>740</v>
      </c>
      <c r="N555">
        <v>992</v>
      </c>
      <c r="O555">
        <v>3.0000000000000001E-3</v>
      </c>
      <c r="P555">
        <v>52.78</v>
      </c>
      <c r="R555">
        <f t="shared" si="16"/>
        <v>0</v>
      </c>
      <c r="S555" s="3">
        <f t="shared" si="17"/>
        <v>0</v>
      </c>
    </row>
    <row r="556" spans="1:19" x14ac:dyDescent="0.3">
      <c r="A556" s="5">
        <v>44386</v>
      </c>
      <c r="B556" t="s">
        <v>61</v>
      </c>
      <c r="C556">
        <v>3576315</v>
      </c>
      <c r="D556">
        <v>2611807</v>
      </c>
      <c r="E556">
        <v>964508</v>
      </c>
      <c r="H556">
        <v>30595</v>
      </c>
      <c r="I556">
        <v>11.71</v>
      </c>
      <c r="J556">
        <v>8.5500000000000007</v>
      </c>
      <c r="K556">
        <v>3.16</v>
      </c>
      <c r="M556">
        <v>1002</v>
      </c>
      <c r="N556">
        <v>992</v>
      </c>
      <c r="O556">
        <v>3.0000000000000001E-3</v>
      </c>
      <c r="P556">
        <v>52.78</v>
      </c>
      <c r="R556">
        <f t="shared" si="16"/>
        <v>5.3900000000000006</v>
      </c>
      <c r="S556" s="3">
        <f t="shared" si="17"/>
        <v>5.8550000000000005E-2</v>
      </c>
    </row>
    <row r="557" spans="1:19" x14ac:dyDescent="0.3">
      <c r="A557" s="5">
        <v>44387</v>
      </c>
      <c r="B557" t="s">
        <v>61</v>
      </c>
      <c r="H557">
        <v>35988</v>
      </c>
      <c r="M557">
        <v>1178</v>
      </c>
      <c r="N557">
        <v>992</v>
      </c>
      <c r="O557">
        <v>3.0000000000000001E-3</v>
      </c>
      <c r="P557">
        <v>52.78</v>
      </c>
      <c r="R557">
        <f t="shared" si="16"/>
        <v>0</v>
      </c>
      <c r="S557" s="3">
        <f t="shared" si="17"/>
        <v>0</v>
      </c>
    </row>
    <row r="558" spans="1:19" x14ac:dyDescent="0.3">
      <c r="A558" s="5">
        <v>44388</v>
      </c>
      <c r="B558" t="s">
        <v>61</v>
      </c>
      <c r="C558">
        <v>3653173</v>
      </c>
      <c r="D558">
        <v>2611807</v>
      </c>
      <c r="E558">
        <v>1041366</v>
      </c>
      <c r="H558">
        <v>41303</v>
      </c>
      <c r="I558">
        <v>11.96</v>
      </c>
      <c r="J558">
        <v>8.5500000000000007</v>
      </c>
      <c r="K558">
        <v>3.41</v>
      </c>
      <c r="M558">
        <v>1352</v>
      </c>
      <c r="N558">
        <v>829</v>
      </c>
      <c r="O558">
        <v>3.0000000000000001E-3</v>
      </c>
      <c r="P558">
        <v>52.78</v>
      </c>
      <c r="R558">
        <f t="shared" si="16"/>
        <v>5.1400000000000006</v>
      </c>
      <c r="S558" s="3">
        <f t="shared" si="17"/>
        <v>5.9800000000000006E-2</v>
      </c>
    </row>
    <row r="559" spans="1:19" x14ac:dyDescent="0.3">
      <c r="A559" s="5">
        <v>44389</v>
      </c>
      <c r="B559" t="s">
        <v>61</v>
      </c>
      <c r="C559">
        <v>3690999</v>
      </c>
      <c r="D559">
        <v>2611807</v>
      </c>
      <c r="E559">
        <v>1079192</v>
      </c>
      <c r="G559">
        <v>37826</v>
      </c>
      <c r="H559">
        <v>45605</v>
      </c>
      <c r="I559">
        <v>12.08</v>
      </c>
      <c r="J559">
        <v>8.5500000000000007</v>
      </c>
      <c r="K559">
        <v>3.53</v>
      </c>
      <c r="M559">
        <v>1493</v>
      </c>
      <c r="N559">
        <v>0</v>
      </c>
      <c r="O559">
        <v>0</v>
      </c>
      <c r="P559">
        <v>52.78</v>
      </c>
      <c r="R559">
        <f t="shared" si="16"/>
        <v>5.0200000000000014</v>
      </c>
      <c r="S559" s="3">
        <f t="shared" si="17"/>
        <v>6.0400000000000009E-2</v>
      </c>
    </row>
    <row r="560" spans="1:19" x14ac:dyDescent="0.3">
      <c r="A560" s="5">
        <v>44390</v>
      </c>
      <c r="B560" t="s">
        <v>61</v>
      </c>
      <c r="C560">
        <v>3714937</v>
      </c>
      <c r="D560">
        <v>2611807</v>
      </c>
      <c r="E560">
        <v>1103130</v>
      </c>
      <c r="G560">
        <v>23938</v>
      </c>
      <c r="H560">
        <v>42500</v>
      </c>
      <c r="I560">
        <v>12.16</v>
      </c>
      <c r="J560">
        <v>8.5500000000000007</v>
      </c>
      <c r="K560">
        <v>3.61</v>
      </c>
      <c r="M560">
        <v>1391</v>
      </c>
      <c r="N560">
        <v>0</v>
      </c>
      <c r="O560">
        <v>0</v>
      </c>
      <c r="P560">
        <v>52.78</v>
      </c>
      <c r="R560">
        <f t="shared" si="16"/>
        <v>4.9400000000000013</v>
      </c>
      <c r="S560" s="3">
        <f t="shared" si="17"/>
        <v>6.08E-2</v>
      </c>
    </row>
    <row r="561" spans="1:19" x14ac:dyDescent="0.3">
      <c r="A561" s="5">
        <v>44391</v>
      </c>
      <c r="B561" t="s">
        <v>61</v>
      </c>
      <c r="C561">
        <v>3730344</v>
      </c>
      <c r="D561">
        <v>2621476</v>
      </c>
      <c r="E561">
        <v>1108868</v>
      </c>
      <c r="G561">
        <v>15407</v>
      </c>
      <c r="H561">
        <v>38177</v>
      </c>
      <c r="I561">
        <v>12.21</v>
      </c>
      <c r="J561">
        <v>8.58</v>
      </c>
      <c r="K561">
        <v>3.63</v>
      </c>
      <c r="M561">
        <v>1250</v>
      </c>
      <c r="N561">
        <v>1381</v>
      </c>
      <c r="O561">
        <v>5.0000000000000001E-3</v>
      </c>
      <c r="P561">
        <v>52.78</v>
      </c>
      <c r="R561">
        <f t="shared" si="16"/>
        <v>4.95</v>
      </c>
      <c r="S561" s="3">
        <f t="shared" si="17"/>
        <v>6.1050000000000007E-2</v>
      </c>
    </row>
    <row r="562" spans="1:19" x14ac:dyDescent="0.3">
      <c r="A562" s="5">
        <v>44392</v>
      </c>
      <c r="B562" t="s">
        <v>61</v>
      </c>
      <c r="H562">
        <v>41208</v>
      </c>
      <c r="M562">
        <v>1349</v>
      </c>
      <c r="N562">
        <v>11684</v>
      </c>
      <c r="O562">
        <v>3.7999999999999999E-2</v>
      </c>
      <c r="P562">
        <v>52.78</v>
      </c>
      <c r="R562">
        <f t="shared" si="16"/>
        <v>0</v>
      </c>
      <c r="S562" s="3">
        <f t="shared" si="17"/>
        <v>0</v>
      </c>
    </row>
    <row r="563" spans="1:19" x14ac:dyDescent="0.3">
      <c r="A563" s="5">
        <v>44393</v>
      </c>
      <c r="B563" t="s">
        <v>61</v>
      </c>
      <c r="C563">
        <v>3885991</v>
      </c>
      <c r="D563">
        <v>2765709</v>
      </c>
      <c r="E563">
        <v>1120282</v>
      </c>
      <c r="H563">
        <v>44239</v>
      </c>
      <c r="I563">
        <v>12.72</v>
      </c>
      <c r="J563">
        <v>9.0500000000000007</v>
      </c>
      <c r="K563">
        <v>3.67</v>
      </c>
      <c r="M563">
        <v>1448</v>
      </c>
      <c r="N563">
        <v>21986</v>
      </c>
      <c r="O563">
        <v>7.1999999999999995E-2</v>
      </c>
      <c r="P563">
        <v>52.78</v>
      </c>
      <c r="R563">
        <f t="shared" si="16"/>
        <v>5.3800000000000008</v>
      </c>
      <c r="S563" s="3">
        <f t="shared" si="17"/>
        <v>6.3600000000000004E-2</v>
      </c>
    </row>
    <row r="564" spans="1:19" x14ac:dyDescent="0.3">
      <c r="A564" s="5">
        <v>44394</v>
      </c>
      <c r="B564" t="s">
        <v>61</v>
      </c>
      <c r="C564">
        <v>4039720</v>
      </c>
      <c r="D564">
        <v>2912850</v>
      </c>
      <c r="E564">
        <v>1126870</v>
      </c>
      <c r="G564">
        <v>153729</v>
      </c>
      <c r="H564">
        <v>60711</v>
      </c>
      <c r="I564">
        <v>13.22</v>
      </c>
      <c r="J564">
        <v>9.5399999999999991</v>
      </c>
      <c r="K564">
        <v>3.69</v>
      </c>
      <c r="M564">
        <v>1987</v>
      </c>
      <c r="N564">
        <v>43006</v>
      </c>
      <c r="O564">
        <v>0.14099999999999999</v>
      </c>
      <c r="P564">
        <v>52.78</v>
      </c>
      <c r="R564">
        <f t="shared" si="16"/>
        <v>5.85</v>
      </c>
      <c r="S564" s="3">
        <f t="shared" si="17"/>
        <v>6.615E-2</v>
      </c>
    </row>
    <row r="565" spans="1:19" x14ac:dyDescent="0.3">
      <c r="A565" s="5">
        <v>44395</v>
      </c>
      <c r="B565" t="s">
        <v>61</v>
      </c>
      <c r="C565">
        <v>4129122</v>
      </c>
      <c r="D565">
        <v>2999214</v>
      </c>
      <c r="E565">
        <v>1129908</v>
      </c>
      <c r="G565">
        <v>89402</v>
      </c>
      <c r="H565">
        <v>67993</v>
      </c>
      <c r="I565">
        <v>13.52</v>
      </c>
      <c r="J565">
        <v>9.82</v>
      </c>
      <c r="K565">
        <v>3.7</v>
      </c>
      <c r="M565">
        <v>2226</v>
      </c>
      <c r="N565">
        <v>55344</v>
      </c>
      <c r="O565">
        <v>0.18099999999999999</v>
      </c>
      <c r="P565">
        <v>52.78</v>
      </c>
      <c r="R565">
        <f t="shared" si="16"/>
        <v>6.12</v>
      </c>
      <c r="S565" s="3">
        <f t="shared" si="17"/>
        <v>6.7599999999999993E-2</v>
      </c>
    </row>
    <row r="566" spans="1:19" x14ac:dyDescent="0.3">
      <c r="A566" s="5">
        <v>44396</v>
      </c>
      <c r="B566" t="s">
        <v>61</v>
      </c>
      <c r="H566">
        <v>75444</v>
      </c>
      <c r="M566">
        <v>2470</v>
      </c>
      <c r="N566">
        <v>66183</v>
      </c>
      <c r="O566">
        <v>0.217</v>
      </c>
      <c r="P566">
        <v>52.78</v>
      </c>
      <c r="R566">
        <f t="shared" si="16"/>
        <v>0</v>
      </c>
      <c r="S566" s="3">
        <f t="shared" si="17"/>
        <v>0</v>
      </c>
    </row>
    <row r="567" spans="1:19" x14ac:dyDescent="0.3">
      <c r="A567" s="5">
        <v>44397</v>
      </c>
      <c r="B567" t="s">
        <v>61</v>
      </c>
      <c r="C567">
        <v>4309086</v>
      </c>
      <c r="D567">
        <v>3150956</v>
      </c>
      <c r="E567">
        <v>1158130</v>
      </c>
      <c r="H567">
        <v>84878</v>
      </c>
      <c r="I567">
        <v>14.11</v>
      </c>
      <c r="J567">
        <v>10.31</v>
      </c>
      <c r="K567">
        <v>3.79</v>
      </c>
      <c r="M567">
        <v>2779</v>
      </c>
      <c r="N567">
        <v>77021</v>
      </c>
      <c r="O567">
        <v>0.252</v>
      </c>
      <c r="P567">
        <v>52.78</v>
      </c>
      <c r="R567">
        <f t="shared" si="16"/>
        <v>6.5200000000000005</v>
      </c>
      <c r="S567" s="3">
        <f t="shared" si="17"/>
        <v>7.0500000000000007E-2</v>
      </c>
    </row>
    <row r="568" spans="1:19" x14ac:dyDescent="0.3">
      <c r="A568" s="5">
        <v>44398</v>
      </c>
      <c r="B568" t="s">
        <v>61</v>
      </c>
      <c r="H568">
        <v>102741</v>
      </c>
      <c r="M568">
        <v>3363</v>
      </c>
      <c r="N568">
        <v>86910</v>
      </c>
      <c r="O568">
        <v>0.28499999999999998</v>
      </c>
      <c r="P568">
        <v>52.78</v>
      </c>
      <c r="R568">
        <f t="shared" si="16"/>
        <v>0</v>
      </c>
      <c r="S568" s="3">
        <f t="shared" si="17"/>
        <v>0</v>
      </c>
    </row>
    <row r="569" spans="1:19" x14ac:dyDescent="0.3">
      <c r="A569" s="5">
        <v>44399</v>
      </c>
      <c r="B569" t="s">
        <v>61</v>
      </c>
      <c r="C569">
        <v>4589970</v>
      </c>
      <c r="D569">
        <v>3308730</v>
      </c>
      <c r="E569">
        <v>1281240</v>
      </c>
      <c r="H569">
        <v>111686</v>
      </c>
      <c r="I569">
        <v>15.03</v>
      </c>
      <c r="J569">
        <v>10.83</v>
      </c>
      <c r="K569">
        <v>4.1900000000000004</v>
      </c>
      <c r="M569">
        <v>3656</v>
      </c>
      <c r="N569">
        <v>87877</v>
      </c>
      <c r="O569">
        <v>0.28799999999999998</v>
      </c>
      <c r="P569">
        <v>52.78</v>
      </c>
      <c r="R569">
        <f t="shared" si="16"/>
        <v>6.64</v>
      </c>
      <c r="S569" s="3">
        <f t="shared" si="17"/>
        <v>7.51E-2</v>
      </c>
    </row>
    <row r="570" spans="1:19" x14ac:dyDescent="0.3">
      <c r="A570" s="5">
        <v>44400</v>
      </c>
      <c r="B570" t="s">
        <v>61</v>
      </c>
      <c r="C570">
        <v>4661963</v>
      </c>
      <c r="D570">
        <v>3349951</v>
      </c>
      <c r="E570">
        <v>1312012</v>
      </c>
      <c r="G570">
        <v>71993</v>
      </c>
      <c r="H570">
        <v>110853</v>
      </c>
      <c r="I570">
        <v>15.26</v>
      </c>
      <c r="J570">
        <v>10.97</v>
      </c>
      <c r="K570">
        <v>4.29</v>
      </c>
      <c r="M570">
        <v>3629</v>
      </c>
      <c r="N570">
        <v>83463</v>
      </c>
      <c r="O570">
        <v>0.27300000000000002</v>
      </c>
      <c r="P570">
        <v>52.78</v>
      </c>
      <c r="R570">
        <f t="shared" si="16"/>
        <v>6.6800000000000006</v>
      </c>
      <c r="S570" s="3">
        <f t="shared" si="17"/>
        <v>7.6300000000000007E-2</v>
      </c>
    </row>
    <row r="571" spans="1:19" x14ac:dyDescent="0.3">
      <c r="A571" s="5">
        <v>44401</v>
      </c>
      <c r="B571" t="s">
        <v>61</v>
      </c>
      <c r="C571">
        <v>4743274</v>
      </c>
      <c r="D571">
        <v>3377228</v>
      </c>
      <c r="E571">
        <v>1366046</v>
      </c>
      <c r="G571">
        <v>81311</v>
      </c>
      <c r="H571">
        <v>100508</v>
      </c>
      <c r="I571">
        <v>15.53</v>
      </c>
      <c r="J571">
        <v>11.06</v>
      </c>
      <c r="K571">
        <v>4.47</v>
      </c>
      <c r="M571">
        <v>3290</v>
      </c>
      <c r="N571">
        <v>66340</v>
      </c>
      <c r="O571">
        <v>0.217</v>
      </c>
      <c r="P571">
        <v>52.78</v>
      </c>
      <c r="R571">
        <f t="shared" si="16"/>
        <v>6.5900000000000007</v>
      </c>
      <c r="S571" s="3">
        <f t="shared" si="17"/>
        <v>7.7650000000000011E-2</v>
      </c>
    </row>
    <row r="572" spans="1:19" x14ac:dyDescent="0.3">
      <c r="A572" s="5">
        <v>44402</v>
      </c>
      <c r="B572" t="s">
        <v>61</v>
      </c>
      <c r="C572">
        <v>4781216</v>
      </c>
      <c r="D572">
        <v>3383038</v>
      </c>
      <c r="E572">
        <v>1398178</v>
      </c>
      <c r="G572">
        <v>37942</v>
      </c>
      <c r="H572">
        <v>93156</v>
      </c>
      <c r="I572">
        <v>15.65</v>
      </c>
      <c r="J572">
        <v>11.07</v>
      </c>
      <c r="K572">
        <v>4.58</v>
      </c>
      <c r="M572">
        <v>3050</v>
      </c>
      <c r="N572">
        <v>54832</v>
      </c>
      <c r="O572">
        <v>0.17899999999999999</v>
      </c>
      <c r="P572">
        <v>52.78</v>
      </c>
      <c r="R572">
        <f t="shared" si="16"/>
        <v>6.49</v>
      </c>
      <c r="S572" s="3">
        <f t="shared" si="17"/>
        <v>7.825E-2</v>
      </c>
    </row>
    <row r="573" spans="1:19" x14ac:dyDescent="0.3">
      <c r="A573" s="5">
        <v>44403</v>
      </c>
      <c r="B573" t="s">
        <v>61</v>
      </c>
      <c r="C573">
        <v>4828570</v>
      </c>
      <c r="D573">
        <v>3405154</v>
      </c>
      <c r="E573">
        <v>1423416</v>
      </c>
      <c r="G573">
        <v>47354</v>
      </c>
      <c r="H573">
        <v>87067</v>
      </c>
      <c r="I573">
        <v>15.81</v>
      </c>
      <c r="J573">
        <v>11.15</v>
      </c>
      <c r="K573">
        <v>4.66</v>
      </c>
      <c r="M573">
        <v>2850</v>
      </c>
      <c r="N573">
        <v>47153</v>
      </c>
      <c r="O573">
        <v>0.154</v>
      </c>
      <c r="P573">
        <v>59.26</v>
      </c>
      <c r="R573">
        <f t="shared" si="16"/>
        <v>6.49</v>
      </c>
      <c r="S573" s="3">
        <f t="shared" si="17"/>
        <v>7.9050000000000009E-2</v>
      </c>
    </row>
    <row r="574" spans="1:19" x14ac:dyDescent="0.3">
      <c r="A574" s="5">
        <v>44404</v>
      </c>
      <c r="B574" t="s">
        <v>61</v>
      </c>
      <c r="C574">
        <v>4920010</v>
      </c>
      <c r="D574">
        <v>3462340</v>
      </c>
      <c r="E574">
        <v>1457670</v>
      </c>
      <c r="G574">
        <v>91440</v>
      </c>
      <c r="H574">
        <v>87275</v>
      </c>
      <c r="I574">
        <v>16.11</v>
      </c>
      <c r="J574">
        <v>11.33</v>
      </c>
      <c r="K574">
        <v>4.7699999999999996</v>
      </c>
      <c r="M574">
        <v>2857</v>
      </c>
      <c r="N574">
        <v>44483</v>
      </c>
      <c r="O574">
        <v>0.14599999999999999</v>
      </c>
      <c r="P574">
        <v>59.26</v>
      </c>
      <c r="R574">
        <f t="shared" si="16"/>
        <v>6.5600000000000005</v>
      </c>
      <c r="S574" s="3">
        <f t="shared" si="17"/>
        <v>8.0500000000000002E-2</v>
      </c>
    </row>
    <row r="575" spans="1:19" x14ac:dyDescent="0.3">
      <c r="A575" s="5">
        <v>44405</v>
      </c>
      <c r="B575" t="s">
        <v>61</v>
      </c>
      <c r="C575">
        <v>5047355</v>
      </c>
      <c r="D575">
        <v>3544043</v>
      </c>
      <c r="E575">
        <v>1503312</v>
      </c>
      <c r="G575">
        <v>127345</v>
      </c>
      <c r="H575">
        <v>85404</v>
      </c>
      <c r="I575">
        <v>16.52</v>
      </c>
      <c r="J575">
        <v>11.6</v>
      </c>
      <c r="K575">
        <v>4.92</v>
      </c>
      <c r="M575">
        <v>2796</v>
      </c>
      <c r="N575">
        <v>44886</v>
      </c>
      <c r="O575">
        <v>0.14699999999999999</v>
      </c>
      <c r="P575">
        <v>59.26</v>
      </c>
      <c r="R575">
        <f t="shared" si="16"/>
        <v>6.68</v>
      </c>
      <c r="S575" s="3">
        <f t="shared" si="17"/>
        <v>8.2599999999999993E-2</v>
      </c>
    </row>
    <row r="576" spans="1:19" x14ac:dyDescent="0.3">
      <c r="A576" s="5">
        <v>44406</v>
      </c>
      <c r="B576" t="s">
        <v>61</v>
      </c>
      <c r="C576">
        <v>5199536</v>
      </c>
      <c r="D576">
        <v>3650733</v>
      </c>
      <c r="E576">
        <v>1548803</v>
      </c>
      <c r="G576">
        <v>152181</v>
      </c>
      <c r="H576">
        <v>87081</v>
      </c>
      <c r="I576">
        <v>17.02</v>
      </c>
      <c r="J576">
        <v>11.95</v>
      </c>
      <c r="K576">
        <v>5.07</v>
      </c>
      <c r="M576">
        <v>2851</v>
      </c>
      <c r="N576">
        <v>48858</v>
      </c>
      <c r="O576">
        <v>0.16</v>
      </c>
      <c r="P576">
        <v>59.26</v>
      </c>
      <c r="R576">
        <f t="shared" si="16"/>
        <v>6.879999999999999</v>
      </c>
      <c r="S576" s="3">
        <f t="shared" si="17"/>
        <v>8.5099999999999995E-2</v>
      </c>
    </row>
    <row r="577" spans="1:19" x14ac:dyDescent="0.3">
      <c r="A577" s="5">
        <v>44407</v>
      </c>
      <c r="B577" t="s">
        <v>61</v>
      </c>
      <c r="H577">
        <v>111303</v>
      </c>
      <c r="M577">
        <v>3644</v>
      </c>
      <c r="N577">
        <v>63397</v>
      </c>
      <c r="O577">
        <v>0.20799999999999999</v>
      </c>
      <c r="P577">
        <v>59.26</v>
      </c>
      <c r="R577">
        <f t="shared" si="16"/>
        <v>0</v>
      </c>
      <c r="S577" s="3">
        <f t="shared" si="17"/>
        <v>0</v>
      </c>
    </row>
    <row r="578" spans="1:19" x14ac:dyDescent="0.3">
      <c r="A578" s="5">
        <v>44408</v>
      </c>
      <c r="B578" t="s">
        <v>61</v>
      </c>
      <c r="C578">
        <v>5682627</v>
      </c>
      <c r="D578">
        <v>3936724</v>
      </c>
      <c r="E578">
        <v>1745903</v>
      </c>
      <c r="H578">
        <v>134193</v>
      </c>
      <c r="I578">
        <v>18.600000000000001</v>
      </c>
      <c r="J578">
        <v>12.89</v>
      </c>
      <c r="K578">
        <v>5.72</v>
      </c>
      <c r="M578">
        <v>4393</v>
      </c>
      <c r="N578">
        <v>79928</v>
      </c>
      <c r="O578">
        <v>0.26200000000000001</v>
      </c>
      <c r="P578">
        <v>59.26</v>
      </c>
      <c r="R578">
        <f t="shared" si="16"/>
        <v>7.1700000000000008</v>
      </c>
      <c r="S578" s="3">
        <f t="shared" si="17"/>
        <v>9.3049999999999994E-2</v>
      </c>
    </row>
    <row r="579" spans="1:19" x14ac:dyDescent="0.3">
      <c r="A579" s="5">
        <v>44409</v>
      </c>
      <c r="B579" t="s">
        <v>61</v>
      </c>
      <c r="C579">
        <v>5877759</v>
      </c>
      <c r="D579">
        <v>4064288</v>
      </c>
      <c r="E579">
        <v>1813471</v>
      </c>
      <c r="G579">
        <v>195132</v>
      </c>
      <c r="H579">
        <v>156649</v>
      </c>
      <c r="I579">
        <v>19.239999999999998</v>
      </c>
      <c r="J579">
        <v>13.3</v>
      </c>
      <c r="K579">
        <v>5.94</v>
      </c>
      <c r="M579">
        <v>5128</v>
      </c>
      <c r="N579">
        <v>97321</v>
      </c>
      <c r="O579">
        <v>0.31900000000000001</v>
      </c>
      <c r="P579">
        <v>59.26</v>
      </c>
      <c r="R579">
        <f t="shared" si="16"/>
        <v>7.36</v>
      </c>
      <c r="S579" s="3">
        <f t="shared" si="17"/>
        <v>9.6200000000000008E-2</v>
      </c>
    </row>
    <row r="580" spans="1:19" x14ac:dyDescent="0.3">
      <c r="A580" s="5">
        <v>44410</v>
      </c>
      <c r="B580" t="s">
        <v>61</v>
      </c>
      <c r="C580">
        <v>6163462</v>
      </c>
      <c r="D580">
        <v>4163251</v>
      </c>
      <c r="E580">
        <v>2000211</v>
      </c>
      <c r="G580">
        <v>285703</v>
      </c>
      <c r="H580">
        <v>190699</v>
      </c>
      <c r="I580">
        <v>20.18</v>
      </c>
      <c r="J580">
        <v>13.63</v>
      </c>
      <c r="K580">
        <v>6.55</v>
      </c>
      <c r="M580">
        <v>6243</v>
      </c>
      <c r="N580">
        <v>108300</v>
      </c>
      <c r="O580">
        <v>0.35499999999999998</v>
      </c>
      <c r="P580">
        <v>59.26</v>
      </c>
      <c r="R580">
        <f t="shared" si="16"/>
        <v>7.080000000000001</v>
      </c>
      <c r="S580" s="3">
        <f t="shared" si="17"/>
        <v>0.1009</v>
      </c>
    </row>
    <row r="581" spans="1:19" x14ac:dyDescent="0.3">
      <c r="A581" s="5">
        <v>44411</v>
      </c>
      <c r="B581" t="s">
        <v>61</v>
      </c>
      <c r="C581">
        <v>6257243</v>
      </c>
      <c r="D581">
        <v>4254540</v>
      </c>
      <c r="E581">
        <v>2002703</v>
      </c>
      <c r="G581">
        <v>93781</v>
      </c>
      <c r="H581">
        <v>191033</v>
      </c>
      <c r="I581">
        <v>20.48</v>
      </c>
      <c r="J581">
        <v>13.93</v>
      </c>
      <c r="K581">
        <v>6.56</v>
      </c>
      <c r="M581">
        <v>6254</v>
      </c>
      <c r="N581">
        <v>113171</v>
      </c>
      <c r="O581">
        <v>0.37</v>
      </c>
      <c r="P581">
        <v>59.26</v>
      </c>
      <c r="R581">
        <f t="shared" si="16"/>
        <v>7.37</v>
      </c>
      <c r="S581" s="3">
        <f t="shared" si="17"/>
        <v>0.10244999999999999</v>
      </c>
    </row>
    <row r="582" spans="1:19" x14ac:dyDescent="0.3">
      <c r="A582" s="5">
        <v>44412</v>
      </c>
      <c r="B582" t="s">
        <v>61</v>
      </c>
      <c r="C582">
        <v>6372398</v>
      </c>
      <c r="D582">
        <v>4297612</v>
      </c>
      <c r="E582">
        <v>2074786</v>
      </c>
      <c r="G582">
        <v>115155</v>
      </c>
      <c r="H582">
        <v>189292</v>
      </c>
      <c r="I582">
        <v>20.86</v>
      </c>
      <c r="J582">
        <v>14.07</v>
      </c>
      <c r="K582">
        <v>6.79</v>
      </c>
      <c r="M582">
        <v>6197</v>
      </c>
      <c r="N582">
        <v>107653</v>
      </c>
      <c r="O582">
        <v>0.35199999999999998</v>
      </c>
      <c r="P582">
        <v>59.26</v>
      </c>
      <c r="R582">
        <f t="shared" ref="R582:R645" si="18">J582-K582</f>
        <v>7.28</v>
      </c>
      <c r="S582" s="3">
        <f t="shared" ref="S582:S645" si="19">MIN(1, (0.5*MAX(R582,0) + 1*K582)/100 )</f>
        <v>0.1043</v>
      </c>
    </row>
    <row r="583" spans="1:19" x14ac:dyDescent="0.3">
      <c r="A583" s="5">
        <v>44413</v>
      </c>
      <c r="B583" t="s">
        <v>61</v>
      </c>
      <c r="C583">
        <v>6490177</v>
      </c>
      <c r="D583">
        <v>4359277</v>
      </c>
      <c r="E583">
        <v>2130900</v>
      </c>
      <c r="G583">
        <v>117779</v>
      </c>
      <c r="H583">
        <v>184377</v>
      </c>
      <c r="I583">
        <v>21.25</v>
      </c>
      <c r="J583">
        <v>14.27</v>
      </c>
      <c r="K583">
        <v>6.98</v>
      </c>
      <c r="M583">
        <v>6036</v>
      </c>
      <c r="N583">
        <v>101221</v>
      </c>
      <c r="O583">
        <v>0.33100000000000002</v>
      </c>
      <c r="P583">
        <v>59.26</v>
      </c>
      <c r="R583">
        <f t="shared" si="18"/>
        <v>7.2899999999999991</v>
      </c>
      <c r="S583" s="3">
        <f t="shared" si="19"/>
        <v>0.10625</v>
      </c>
    </row>
    <row r="584" spans="1:19" x14ac:dyDescent="0.3">
      <c r="A584" s="5">
        <v>44414</v>
      </c>
      <c r="B584" t="s">
        <v>61</v>
      </c>
      <c r="C584">
        <v>6611076</v>
      </c>
      <c r="D584">
        <v>4403021</v>
      </c>
      <c r="E584">
        <v>2208055</v>
      </c>
      <c r="G584">
        <v>120899</v>
      </c>
      <c r="H584">
        <v>167142</v>
      </c>
      <c r="I584">
        <v>21.64</v>
      </c>
      <c r="J584">
        <v>14.41</v>
      </c>
      <c r="K584">
        <v>7.23</v>
      </c>
      <c r="M584">
        <v>5472</v>
      </c>
      <c r="N584">
        <v>87042</v>
      </c>
      <c r="O584">
        <v>0.28499999999999998</v>
      </c>
      <c r="P584">
        <v>59.26</v>
      </c>
      <c r="R584">
        <f t="shared" si="18"/>
        <v>7.18</v>
      </c>
      <c r="S584" s="3">
        <f t="shared" si="19"/>
        <v>0.1082</v>
      </c>
    </row>
    <row r="585" spans="1:19" x14ac:dyDescent="0.3">
      <c r="A585" s="5">
        <v>44415</v>
      </c>
      <c r="B585" t="s">
        <v>61</v>
      </c>
      <c r="C585">
        <v>6802415</v>
      </c>
      <c r="D585">
        <v>4442622</v>
      </c>
      <c r="E585">
        <v>2359793</v>
      </c>
      <c r="G585">
        <v>191339</v>
      </c>
      <c r="H585">
        <v>159970</v>
      </c>
      <c r="I585">
        <v>22.27</v>
      </c>
      <c r="J585">
        <v>14.54</v>
      </c>
      <c r="K585">
        <v>7.72</v>
      </c>
      <c r="M585">
        <v>5237</v>
      </c>
      <c r="N585">
        <v>72271</v>
      </c>
      <c r="O585">
        <v>0.23699999999999999</v>
      </c>
      <c r="P585">
        <v>59.26</v>
      </c>
      <c r="R585">
        <f t="shared" si="18"/>
        <v>6.8199999999999994</v>
      </c>
      <c r="S585" s="3">
        <f t="shared" si="19"/>
        <v>0.1113</v>
      </c>
    </row>
    <row r="586" spans="1:19" x14ac:dyDescent="0.3">
      <c r="A586" s="5">
        <v>44416</v>
      </c>
      <c r="B586" t="s">
        <v>61</v>
      </c>
      <c r="C586">
        <v>6986451</v>
      </c>
      <c r="D586">
        <v>4494269</v>
      </c>
      <c r="E586">
        <v>2492182</v>
      </c>
      <c r="G586">
        <v>184036</v>
      </c>
      <c r="H586">
        <v>158385</v>
      </c>
      <c r="I586">
        <v>22.87</v>
      </c>
      <c r="J586">
        <v>14.71</v>
      </c>
      <c r="K586">
        <v>8.16</v>
      </c>
      <c r="M586">
        <v>5185</v>
      </c>
      <c r="N586">
        <v>61426</v>
      </c>
      <c r="O586">
        <v>0.20100000000000001</v>
      </c>
      <c r="P586">
        <v>59.26</v>
      </c>
      <c r="R586">
        <f t="shared" si="18"/>
        <v>6.5500000000000007</v>
      </c>
      <c r="S586" s="3">
        <f t="shared" si="19"/>
        <v>0.11435000000000001</v>
      </c>
    </row>
    <row r="587" spans="1:19" x14ac:dyDescent="0.3">
      <c r="A587" s="5">
        <v>44417</v>
      </c>
      <c r="B587" t="s">
        <v>61</v>
      </c>
      <c r="C587">
        <v>7131481</v>
      </c>
      <c r="D587">
        <v>4525435</v>
      </c>
      <c r="E587">
        <v>2606046</v>
      </c>
      <c r="G587">
        <v>145030</v>
      </c>
      <c r="H587">
        <v>138288</v>
      </c>
      <c r="I587">
        <v>23.35</v>
      </c>
      <c r="J587">
        <v>14.81</v>
      </c>
      <c r="K587">
        <v>8.5299999999999994</v>
      </c>
      <c r="M587">
        <v>4527</v>
      </c>
      <c r="N587">
        <v>51741</v>
      </c>
      <c r="O587">
        <v>0.16900000000000001</v>
      </c>
      <c r="P587">
        <v>59.26</v>
      </c>
      <c r="R587">
        <f t="shared" si="18"/>
        <v>6.2800000000000011</v>
      </c>
      <c r="S587" s="3">
        <f t="shared" si="19"/>
        <v>0.1167</v>
      </c>
    </row>
    <row r="588" spans="1:19" x14ac:dyDescent="0.3">
      <c r="A588" s="5">
        <v>44418</v>
      </c>
      <c r="B588" t="s">
        <v>61</v>
      </c>
      <c r="C588">
        <v>7263702</v>
      </c>
      <c r="D588">
        <v>4541682</v>
      </c>
      <c r="E588">
        <v>2722020</v>
      </c>
      <c r="G588">
        <v>132221</v>
      </c>
      <c r="H588">
        <v>143780</v>
      </c>
      <c r="I588">
        <v>23.78</v>
      </c>
      <c r="J588">
        <v>14.87</v>
      </c>
      <c r="K588">
        <v>8.91</v>
      </c>
      <c r="M588">
        <v>4707</v>
      </c>
      <c r="N588">
        <v>41020</v>
      </c>
      <c r="O588">
        <v>0.13400000000000001</v>
      </c>
      <c r="P588">
        <v>59.26</v>
      </c>
      <c r="R588">
        <f t="shared" si="18"/>
        <v>5.9599999999999991</v>
      </c>
      <c r="S588" s="3">
        <f t="shared" si="19"/>
        <v>0.11890000000000001</v>
      </c>
    </row>
    <row r="589" spans="1:19" x14ac:dyDescent="0.3">
      <c r="A589" s="5">
        <v>44419</v>
      </c>
      <c r="B589" t="s">
        <v>61</v>
      </c>
      <c r="C589">
        <v>7458913</v>
      </c>
      <c r="D589">
        <v>4570553</v>
      </c>
      <c r="E589">
        <v>2888360</v>
      </c>
      <c r="G589">
        <v>195211</v>
      </c>
      <c r="H589">
        <v>155216</v>
      </c>
      <c r="I589">
        <v>24.42</v>
      </c>
      <c r="J589">
        <v>14.96</v>
      </c>
      <c r="K589">
        <v>9.4600000000000009</v>
      </c>
      <c r="M589">
        <v>5081</v>
      </c>
      <c r="N589">
        <v>38992</v>
      </c>
      <c r="O589">
        <v>0.128</v>
      </c>
      <c r="P589">
        <v>59.26</v>
      </c>
      <c r="R589">
        <f t="shared" si="18"/>
        <v>5.5</v>
      </c>
      <c r="S589" s="3">
        <f t="shared" si="19"/>
        <v>0.12210000000000001</v>
      </c>
    </row>
    <row r="590" spans="1:19" x14ac:dyDescent="0.3">
      <c r="A590" s="5">
        <v>44420</v>
      </c>
      <c r="B590" t="s">
        <v>61</v>
      </c>
      <c r="C590">
        <v>7515766</v>
      </c>
      <c r="D590">
        <v>4593526</v>
      </c>
      <c r="E590">
        <v>2922240</v>
      </c>
      <c r="G590">
        <v>56853</v>
      </c>
      <c r="H590">
        <v>146513</v>
      </c>
      <c r="I590">
        <v>24.6</v>
      </c>
      <c r="J590">
        <v>15.04</v>
      </c>
      <c r="K590">
        <v>9.57</v>
      </c>
      <c r="M590">
        <v>4796</v>
      </c>
      <c r="N590">
        <v>33464</v>
      </c>
      <c r="O590">
        <v>0.11</v>
      </c>
      <c r="P590">
        <v>59.26</v>
      </c>
      <c r="R590">
        <f t="shared" si="18"/>
        <v>5.4699999999999989</v>
      </c>
      <c r="S590" s="3">
        <f t="shared" si="19"/>
        <v>0.12304999999999999</v>
      </c>
    </row>
    <row r="591" spans="1:19" x14ac:dyDescent="0.3">
      <c r="A591" s="5">
        <v>44421</v>
      </c>
      <c r="B591" t="s">
        <v>61</v>
      </c>
      <c r="H591">
        <v>162251</v>
      </c>
      <c r="M591">
        <v>5311</v>
      </c>
      <c r="N591">
        <v>32986</v>
      </c>
      <c r="O591">
        <v>0.108</v>
      </c>
      <c r="P591">
        <v>59.26</v>
      </c>
      <c r="R591">
        <f t="shared" si="18"/>
        <v>0</v>
      </c>
      <c r="S591" s="3">
        <f t="shared" si="19"/>
        <v>0</v>
      </c>
    </row>
    <row r="592" spans="1:19" x14ac:dyDescent="0.3">
      <c r="A592" s="5">
        <v>44422</v>
      </c>
      <c r="B592" t="s">
        <v>61</v>
      </c>
      <c r="C592">
        <v>7977896</v>
      </c>
      <c r="D592">
        <v>4674318</v>
      </c>
      <c r="E592">
        <v>3303578</v>
      </c>
      <c r="H592">
        <v>167926</v>
      </c>
      <c r="I592">
        <v>26.12</v>
      </c>
      <c r="J592">
        <v>15.3</v>
      </c>
      <c r="K592">
        <v>10.81</v>
      </c>
      <c r="M592">
        <v>5497</v>
      </c>
      <c r="N592">
        <v>33099</v>
      </c>
      <c r="O592">
        <v>0.108</v>
      </c>
      <c r="P592">
        <v>59.26</v>
      </c>
      <c r="R592">
        <f t="shared" si="18"/>
        <v>4.49</v>
      </c>
      <c r="S592" s="3">
        <f t="shared" si="19"/>
        <v>0.13055</v>
      </c>
    </row>
    <row r="593" spans="1:19" x14ac:dyDescent="0.3">
      <c r="A593" s="5">
        <v>44423</v>
      </c>
      <c r="B593" t="s">
        <v>61</v>
      </c>
      <c r="C593">
        <v>8048666</v>
      </c>
      <c r="D593">
        <v>4684509</v>
      </c>
      <c r="E593">
        <v>3364157</v>
      </c>
      <c r="G593">
        <v>70770</v>
      </c>
      <c r="H593">
        <v>151745</v>
      </c>
      <c r="I593">
        <v>26.35</v>
      </c>
      <c r="J593">
        <v>15.34</v>
      </c>
      <c r="K593">
        <v>11.01</v>
      </c>
      <c r="M593">
        <v>4967</v>
      </c>
      <c r="N593">
        <v>27177</v>
      </c>
      <c r="O593">
        <v>8.8999999999999996E-2</v>
      </c>
      <c r="P593">
        <v>59.26</v>
      </c>
      <c r="R593">
        <f t="shared" si="18"/>
        <v>4.33</v>
      </c>
      <c r="S593" s="3">
        <f t="shared" si="19"/>
        <v>0.13175000000000001</v>
      </c>
    </row>
    <row r="594" spans="1:19" x14ac:dyDescent="0.3">
      <c r="A594" s="5">
        <v>44424</v>
      </c>
      <c r="B594" t="s">
        <v>61</v>
      </c>
      <c r="C594">
        <v>8207001</v>
      </c>
      <c r="D594">
        <v>4716936</v>
      </c>
      <c r="E594">
        <v>3490065</v>
      </c>
      <c r="G594">
        <v>158335</v>
      </c>
      <c r="H594">
        <v>153646</v>
      </c>
      <c r="I594">
        <v>26.87</v>
      </c>
      <c r="J594">
        <v>15.44</v>
      </c>
      <c r="K594">
        <v>11.43</v>
      </c>
      <c r="M594">
        <v>5030</v>
      </c>
      <c r="N594">
        <v>27357</v>
      </c>
      <c r="O594">
        <v>0.09</v>
      </c>
      <c r="P594">
        <v>64.81</v>
      </c>
      <c r="R594">
        <f t="shared" si="18"/>
        <v>4.01</v>
      </c>
      <c r="S594" s="3">
        <f t="shared" si="19"/>
        <v>0.13435</v>
      </c>
    </row>
    <row r="595" spans="1:19" x14ac:dyDescent="0.3">
      <c r="A595" s="5">
        <v>44425</v>
      </c>
      <c r="B595" t="s">
        <v>61</v>
      </c>
      <c r="C595">
        <v>8351529</v>
      </c>
      <c r="D595">
        <v>4764856</v>
      </c>
      <c r="E595">
        <v>3586673</v>
      </c>
      <c r="G595">
        <v>144528</v>
      </c>
      <c r="H595">
        <v>155404</v>
      </c>
      <c r="I595">
        <v>27.34</v>
      </c>
      <c r="J595">
        <v>15.6</v>
      </c>
      <c r="K595">
        <v>11.74</v>
      </c>
      <c r="M595">
        <v>5087</v>
      </c>
      <c r="N595">
        <v>31882</v>
      </c>
      <c r="O595">
        <v>0.104</v>
      </c>
      <c r="P595">
        <v>64.81</v>
      </c>
      <c r="R595">
        <f t="shared" si="18"/>
        <v>3.8599999999999994</v>
      </c>
      <c r="S595" s="3">
        <f t="shared" si="19"/>
        <v>0.13669999999999999</v>
      </c>
    </row>
    <row r="596" spans="1:19" x14ac:dyDescent="0.3">
      <c r="A596" s="5">
        <v>44426</v>
      </c>
      <c r="B596" t="s">
        <v>61</v>
      </c>
      <c r="C596">
        <v>8435662</v>
      </c>
      <c r="D596">
        <v>4785902</v>
      </c>
      <c r="E596">
        <v>3649760</v>
      </c>
      <c r="G596">
        <v>84133</v>
      </c>
      <c r="H596">
        <v>139536</v>
      </c>
      <c r="I596">
        <v>27.61</v>
      </c>
      <c r="J596">
        <v>15.67</v>
      </c>
      <c r="K596">
        <v>11.95</v>
      </c>
      <c r="M596">
        <v>4568</v>
      </c>
      <c r="N596">
        <v>30764</v>
      </c>
      <c r="O596">
        <v>0.10100000000000001</v>
      </c>
      <c r="P596">
        <v>64.81</v>
      </c>
      <c r="R596">
        <f t="shared" si="18"/>
        <v>3.7200000000000006</v>
      </c>
      <c r="S596" s="3">
        <f t="shared" si="19"/>
        <v>0.1381</v>
      </c>
    </row>
    <row r="597" spans="1:19" x14ac:dyDescent="0.3">
      <c r="A597" s="5">
        <v>44427</v>
      </c>
      <c r="B597" t="s">
        <v>61</v>
      </c>
      <c r="C597">
        <v>8526673</v>
      </c>
      <c r="D597">
        <v>4817985</v>
      </c>
      <c r="E597">
        <v>3708688</v>
      </c>
      <c r="G597">
        <v>91011</v>
      </c>
      <c r="H597">
        <v>144415</v>
      </c>
      <c r="I597">
        <v>27.91</v>
      </c>
      <c r="J597">
        <v>15.77</v>
      </c>
      <c r="K597">
        <v>12.14</v>
      </c>
      <c r="M597">
        <v>4728</v>
      </c>
      <c r="N597">
        <v>32066</v>
      </c>
      <c r="O597">
        <v>0.105</v>
      </c>
      <c r="P597">
        <v>64.81</v>
      </c>
      <c r="R597">
        <f t="shared" si="18"/>
        <v>3.629999999999999</v>
      </c>
      <c r="S597" s="3">
        <f t="shared" si="19"/>
        <v>0.13955000000000001</v>
      </c>
    </row>
    <row r="598" spans="1:19" x14ac:dyDescent="0.3">
      <c r="A598" s="5">
        <v>44428</v>
      </c>
      <c r="B598" t="s">
        <v>61</v>
      </c>
      <c r="C598">
        <v>8706701</v>
      </c>
      <c r="D598">
        <v>4907523</v>
      </c>
      <c r="E598">
        <v>3799178</v>
      </c>
      <c r="G598">
        <v>180028</v>
      </c>
      <c r="H598">
        <v>137124</v>
      </c>
      <c r="I598">
        <v>28.5</v>
      </c>
      <c r="J598">
        <v>16.07</v>
      </c>
      <c r="K598">
        <v>12.44</v>
      </c>
      <c r="M598">
        <v>4489</v>
      </c>
      <c r="N598">
        <v>39086</v>
      </c>
      <c r="O598">
        <v>0.128</v>
      </c>
      <c r="P598">
        <v>64.81</v>
      </c>
      <c r="R598">
        <f t="shared" si="18"/>
        <v>3.6300000000000008</v>
      </c>
      <c r="S598" s="3">
        <f t="shared" si="19"/>
        <v>0.14254999999999998</v>
      </c>
    </row>
    <row r="599" spans="1:19" x14ac:dyDescent="0.3">
      <c r="A599" s="5">
        <v>44429</v>
      </c>
      <c r="B599" t="s">
        <v>61</v>
      </c>
      <c r="C599">
        <v>8770664</v>
      </c>
      <c r="D599">
        <v>4935056</v>
      </c>
      <c r="E599">
        <v>3835608</v>
      </c>
      <c r="G599">
        <v>63963</v>
      </c>
      <c r="H599">
        <v>113253</v>
      </c>
      <c r="I599">
        <v>28.71</v>
      </c>
      <c r="J599">
        <v>16.16</v>
      </c>
      <c r="K599">
        <v>12.56</v>
      </c>
      <c r="M599">
        <v>3707</v>
      </c>
      <c r="N599">
        <v>37248</v>
      </c>
      <c r="O599">
        <v>0.122</v>
      </c>
      <c r="P599">
        <v>64.81</v>
      </c>
      <c r="R599">
        <f t="shared" si="18"/>
        <v>3.5999999999999996</v>
      </c>
      <c r="S599" s="3">
        <f t="shared" si="19"/>
        <v>0.14360000000000001</v>
      </c>
    </row>
    <row r="600" spans="1:19" x14ac:dyDescent="0.3">
      <c r="A600" s="5">
        <v>44430</v>
      </c>
      <c r="B600" t="s">
        <v>61</v>
      </c>
      <c r="C600">
        <v>8788986</v>
      </c>
      <c r="D600">
        <v>4942250</v>
      </c>
      <c r="E600">
        <v>3846736</v>
      </c>
      <c r="G600">
        <v>18322</v>
      </c>
      <c r="H600">
        <v>105760</v>
      </c>
      <c r="I600">
        <v>28.77</v>
      </c>
      <c r="J600">
        <v>16.18</v>
      </c>
      <c r="K600">
        <v>12.59</v>
      </c>
      <c r="M600">
        <v>3462</v>
      </c>
      <c r="N600">
        <v>36820</v>
      </c>
      <c r="O600">
        <v>0.121</v>
      </c>
      <c r="P600">
        <v>64.81</v>
      </c>
      <c r="R600">
        <f t="shared" si="18"/>
        <v>3.59</v>
      </c>
      <c r="S600" s="3">
        <f t="shared" si="19"/>
        <v>0.14385000000000001</v>
      </c>
    </row>
    <row r="601" spans="1:19" x14ac:dyDescent="0.3">
      <c r="A601" s="5">
        <v>44431</v>
      </c>
      <c r="B601" t="s">
        <v>61</v>
      </c>
      <c r="C601">
        <v>8801330</v>
      </c>
      <c r="D601">
        <v>4943732</v>
      </c>
      <c r="E601">
        <v>3857598</v>
      </c>
      <c r="G601">
        <v>12344</v>
      </c>
      <c r="H601">
        <v>84904</v>
      </c>
      <c r="I601">
        <v>28.81</v>
      </c>
      <c r="J601">
        <v>16.18</v>
      </c>
      <c r="K601">
        <v>12.63</v>
      </c>
      <c r="M601">
        <v>2779</v>
      </c>
      <c r="N601">
        <v>32399</v>
      </c>
      <c r="O601">
        <v>0.106</v>
      </c>
      <c r="P601">
        <v>64.81</v>
      </c>
      <c r="R601">
        <f t="shared" si="18"/>
        <v>3.5499999999999989</v>
      </c>
      <c r="S601" s="3">
        <f t="shared" si="19"/>
        <v>0.14405000000000001</v>
      </c>
    </row>
    <row r="602" spans="1:19" x14ac:dyDescent="0.3">
      <c r="A602" s="5">
        <v>44432</v>
      </c>
      <c r="B602" t="s">
        <v>61</v>
      </c>
      <c r="H602">
        <v>68905</v>
      </c>
      <c r="M602">
        <v>2256</v>
      </c>
      <c r="N602">
        <v>26462</v>
      </c>
      <c r="O602">
        <v>8.6999999999999994E-2</v>
      </c>
      <c r="P602">
        <v>64.81</v>
      </c>
      <c r="R602">
        <f t="shared" si="18"/>
        <v>0</v>
      </c>
      <c r="S602" s="3">
        <f t="shared" si="19"/>
        <v>0</v>
      </c>
    </row>
    <row r="603" spans="1:19" x14ac:dyDescent="0.3">
      <c r="A603" s="5">
        <v>44433</v>
      </c>
      <c r="B603" t="s">
        <v>61</v>
      </c>
      <c r="C603">
        <v>8866396</v>
      </c>
      <c r="D603">
        <v>4956455</v>
      </c>
      <c r="E603">
        <v>3909941</v>
      </c>
      <c r="H603">
        <v>61533</v>
      </c>
      <c r="I603">
        <v>29.02</v>
      </c>
      <c r="J603">
        <v>16.23</v>
      </c>
      <c r="K603">
        <v>12.8</v>
      </c>
      <c r="M603">
        <v>2014</v>
      </c>
      <c r="N603">
        <v>24365</v>
      </c>
      <c r="O603">
        <v>0.08</v>
      </c>
      <c r="P603">
        <v>64.81</v>
      </c>
      <c r="R603">
        <f t="shared" si="18"/>
        <v>3.4299999999999997</v>
      </c>
      <c r="S603" s="3">
        <f t="shared" si="19"/>
        <v>0.14515</v>
      </c>
    </row>
    <row r="604" spans="1:19" x14ac:dyDescent="0.3">
      <c r="A604" s="5">
        <v>44434</v>
      </c>
      <c r="B604" t="s">
        <v>61</v>
      </c>
      <c r="C604">
        <v>8936422</v>
      </c>
      <c r="D604">
        <v>4986893</v>
      </c>
      <c r="E604">
        <v>3949529</v>
      </c>
      <c r="G604">
        <v>70026</v>
      </c>
      <c r="H604">
        <v>58536</v>
      </c>
      <c r="I604">
        <v>29.25</v>
      </c>
      <c r="J604">
        <v>16.32</v>
      </c>
      <c r="K604">
        <v>12.93</v>
      </c>
      <c r="M604">
        <v>1916</v>
      </c>
      <c r="N604">
        <v>24130</v>
      </c>
      <c r="O604">
        <v>7.9000000000000001E-2</v>
      </c>
      <c r="P604">
        <v>64.81</v>
      </c>
      <c r="R604">
        <f t="shared" si="18"/>
        <v>3.3900000000000006</v>
      </c>
      <c r="S604" s="3">
        <f t="shared" si="19"/>
        <v>0.14624999999999999</v>
      </c>
    </row>
    <row r="605" spans="1:19" x14ac:dyDescent="0.3">
      <c r="A605" s="5">
        <v>44435</v>
      </c>
      <c r="B605" t="s">
        <v>61</v>
      </c>
      <c r="C605">
        <v>9116287</v>
      </c>
      <c r="D605">
        <v>5063522</v>
      </c>
      <c r="E605">
        <v>4052765</v>
      </c>
      <c r="G605">
        <v>179865</v>
      </c>
      <c r="H605">
        <v>58512</v>
      </c>
      <c r="I605">
        <v>29.84</v>
      </c>
      <c r="J605">
        <v>16.579999999999998</v>
      </c>
      <c r="K605">
        <v>13.27</v>
      </c>
      <c r="M605">
        <v>1915</v>
      </c>
      <c r="N605">
        <v>22286</v>
      </c>
      <c r="O605">
        <v>7.2999999999999995E-2</v>
      </c>
      <c r="P605">
        <v>64.81</v>
      </c>
      <c r="R605">
        <f t="shared" si="18"/>
        <v>3.3099999999999987</v>
      </c>
      <c r="S605" s="3">
        <f t="shared" si="19"/>
        <v>0.14924999999999999</v>
      </c>
    </row>
    <row r="606" spans="1:19" x14ac:dyDescent="0.3">
      <c r="A606" s="5">
        <v>44436</v>
      </c>
      <c r="B606" t="s">
        <v>61</v>
      </c>
      <c r="H606">
        <v>77832</v>
      </c>
      <c r="M606">
        <v>2548</v>
      </c>
      <c r="N606">
        <v>30446</v>
      </c>
      <c r="O606">
        <v>0.1</v>
      </c>
      <c r="P606">
        <v>64.81</v>
      </c>
      <c r="R606">
        <f t="shared" si="18"/>
        <v>0</v>
      </c>
      <c r="S606" s="3">
        <f t="shared" si="19"/>
        <v>0</v>
      </c>
    </row>
    <row r="607" spans="1:19" x14ac:dyDescent="0.3">
      <c r="A607" s="5">
        <v>44437</v>
      </c>
      <c r="B607" t="s">
        <v>61</v>
      </c>
      <c r="H607">
        <v>103671</v>
      </c>
      <c r="M607">
        <v>3394</v>
      </c>
      <c r="N607">
        <v>41511</v>
      </c>
      <c r="O607">
        <v>0.13600000000000001</v>
      </c>
      <c r="P607">
        <v>64.81</v>
      </c>
      <c r="R607">
        <f t="shared" si="18"/>
        <v>0</v>
      </c>
      <c r="S607" s="3">
        <f t="shared" si="19"/>
        <v>0</v>
      </c>
    </row>
    <row r="608" spans="1:19" x14ac:dyDescent="0.3">
      <c r="A608" s="5">
        <v>44438</v>
      </c>
      <c r="B608" t="s">
        <v>61</v>
      </c>
      <c r="C608">
        <v>9713885</v>
      </c>
      <c r="D608">
        <v>5317483</v>
      </c>
      <c r="E608">
        <v>4396402</v>
      </c>
      <c r="H608">
        <v>130365</v>
      </c>
      <c r="I608">
        <v>31.8</v>
      </c>
      <c r="J608">
        <v>17.41</v>
      </c>
      <c r="K608">
        <v>14.39</v>
      </c>
      <c r="M608">
        <v>4268</v>
      </c>
      <c r="N608">
        <v>53393</v>
      </c>
      <c r="O608">
        <v>0.17499999999999999</v>
      </c>
      <c r="P608">
        <v>64.81</v>
      </c>
      <c r="R608">
        <f t="shared" si="18"/>
        <v>3.0199999999999996</v>
      </c>
      <c r="S608" s="3">
        <f t="shared" si="19"/>
        <v>0.159</v>
      </c>
    </row>
    <row r="609" spans="1:19" x14ac:dyDescent="0.3">
      <c r="A609" s="5">
        <v>44439</v>
      </c>
      <c r="B609" t="s">
        <v>61</v>
      </c>
      <c r="C609">
        <v>9799013</v>
      </c>
      <c r="D609">
        <v>5339252</v>
      </c>
      <c r="E609">
        <v>4459761</v>
      </c>
      <c r="G609">
        <v>85128</v>
      </c>
      <c r="H609">
        <v>137879</v>
      </c>
      <c r="I609">
        <v>32.08</v>
      </c>
      <c r="J609">
        <v>17.48</v>
      </c>
      <c r="K609">
        <v>14.6</v>
      </c>
      <c r="M609">
        <v>4514</v>
      </c>
      <c r="N609">
        <v>55594</v>
      </c>
      <c r="O609">
        <v>0.182</v>
      </c>
      <c r="P609">
        <v>46.76</v>
      </c>
      <c r="R609">
        <f t="shared" si="18"/>
        <v>2.8800000000000008</v>
      </c>
      <c r="S609" s="3">
        <f t="shared" si="19"/>
        <v>0.16039999999999999</v>
      </c>
    </row>
    <row r="610" spans="1:19" x14ac:dyDescent="0.3">
      <c r="A610" s="5">
        <v>44440</v>
      </c>
      <c r="B610" t="s">
        <v>61</v>
      </c>
      <c r="C610">
        <v>10092164</v>
      </c>
      <c r="D610">
        <v>5424836</v>
      </c>
      <c r="E610">
        <v>4667328</v>
      </c>
      <c r="G610">
        <v>293151</v>
      </c>
      <c r="H610">
        <v>175110</v>
      </c>
      <c r="I610">
        <v>33.04</v>
      </c>
      <c r="J610">
        <v>17.760000000000002</v>
      </c>
      <c r="K610">
        <v>15.28</v>
      </c>
      <c r="M610">
        <v>5732</v>
      </c>
      <c r="N610">
        <v>66912</v>
      </c>
      <c r="O610">
        <v>0.219</v>
      </c>
      <c r="P610">
        <v>46.76</v>
      </c>
      <c r="R610">
        <f t="shared" si="18"/>
        <v>2.4800000000000022</v>
      </c>
      <c r="S610" s="3">
        <f t="shared" si="19"/>
        <v>0.16519999999999999</v>
      </c>
    </row>
    <row r="611" spans="1:19" x14ac:dyDescent="0.3">
      <c r="A611" s="5">
        <v>44441</v>
      </c>
      <c r="B611" t="s">
        <v>61</v>
      </c>
      <c r="C611">
        <v>10103864</v>
      </c>
      <c r="D611">
        <v>5425888</v>
      </c>
      <c r="E611">
        <v>4677976</v>
      </c>
      <c r="G611">
        <v>11700</v>
      </c>
      <c r="H611">
        <v>166777</v>
      </c>
      <c r="I611">
        <v>33.08</v>
      </c>
      <c r="J611">
        <v>17.760000000000002</v>
      </c>
      <c r="K611">
        <v>15.31</v>
      </c>
      <c r="M611">
        <v>5460</v>
      </c>
      <c r="N611">
        <v>62714</v>
      </c>
      <c r="O611">
        <v>0.20499999999999999</v>
      </c>
      <c r="P611">
        <v>46.76</v>
      </c>
      <c r="R611">
        <f t="shared" si="18"/>
        <v>2.4500000000000011</v>
      </c>
      <c r="S611" s="3">
        <f t="shared" si="19"/>
        <v>0.16535</v>
      </c>
    </row>
    <row r="612" spans="1:19" x14ac:dyDescent="0.3">
      <c r="A612" s="5">
        <v>44442</v>
      </c>
      <c r="B612" t="s">
        <v>61</v>
      </c>
      <c r="C612">
        <v>10268166</v>
      </c>
      <c r="D612">
        <v>5472793</v>
      </c>
      <c r="E612">
        <v>4795373</v>
      </c>
      <c r="G612">
        <v>164302</v>
      </c>
      <c r="H612">
        <v>164554</v>
      </c>
      <c r="I612">
        <v>33.61</v>
      </c>
      <c r="J612">
        <v>17.920000000000002</v>
      </c>
      <c r="K612">
        <v>15.7</v>
      </c>
      <c r="M612">
        <v>5387</v>
      </c>
      <c r="N612">
        <v>58467</v>
      </c>
      <c r="O612">
        <v>0.191</v>
      </c>
      <c r="P612">
        <v>46.76</v>
      </c>
      <c r="R612">
        <f t="shared" si="18"/>
        <v>2.2200000000000024</v>
      </c>
      <c r="S612" s="3">
        <f t="shared" si="19"/>
        <v>0.16810000000000003</v>
      </c>
    </row>
    <row r="613" spans="1:19" x14ac:dyDescent="0.3">
      <c r="A613" s="5">
        <v>44443</v>
      </c>
      <c r="B613" t="s">
        <v>61</v>
      </c>
      <c r="C613">
        <v>10375764</v>
      </c>
      <c r="D613">
        <v>5511929</v>
      </c>
      <c r="E613">
        <v>4863835</v>
      </c>
      <c r="G613">
        <v>107598</v>
      </c>
      <c r="H613">
        <v>151468</v>
      </c>
      <c r="I613">
        <v>33.97</v>
      </c>
      <c r="J613">
        <v>18.04</v>
      </c>
      <c r="K613">
        <v>15.92</v>
      </c>
      <c r="M613">
        <v>4958</v>
      </c>
      <c r="N613">
        <v>51965</v>
      </c>
      <c r="O613">
        <v>0.17</v>
      </c>
      <c r="P613">
        <v>46.76</v>
      </c>
      <c r="R613">
        <f t="shared" si="18"/>
        <v>2.1199999999999992</v>
      </c>
      <c r="S613" s="3">
        <f t="shared" si="19"/>
        <v>0.16980000000000001</v>
      </c>
    </row>
    <row r="614" spans="1:19" x14ac:dyDescent="0.3">
      <c r="A614" s="5">
        <v>44444</v>
      </c>
      <c r="B614" t="s">
        <v>61</v>
      </c>
      <c r="C614">
        <v>10428946</v>
      </c>
      <c r="D614">
        <v>5533794</v>
      </c>
      <c r="E614">
        <v>4895152</v>
      </c>
      <c r="G614">
        <v>53182</v>
      </c>
      <c r="H614">
        <v>130609</v>
      </c>
      <c r="I614">
        <v>34.14</v>
      </c>
      <c r="J614">
        <v>18.12</v>
      </c>
      <c r="K614">
        <v>16.02</v>
      </c>
      <c r="M614">
        <v>4276</v>
      </c>
      <c r="N614">
        <v>42995</v>
      </c>
      <c r="O614">
        <v>0.14099999999999999</v>
      </c>
      <c r="P614">
        <v>46.76</v>
      </c>
      <c r="R614">
        <f t="shared" si="18"/>
        <v>2.1000000000000014</v>
      </c>
      <c r="S614" s="3">
        <f t="shared" si="19"/>
        <v>0.17069999999999999</v>
      </c>
    </row>
    <row r="615" spans="1:19" x14ac:dyDescent="0.3">
      <c r="A615" s="5">
        <v>44445</v>
      </c>
      <c r="B615" t="s">
        <v>61</v>
      </c>
      <c r="C615">
        <v>10536178</v>
      </c>
      <c r="D615">
        <v>5573419</v>
      </c>
      <c r="E615">
        <v>4962759</v>
      </c>
      <c r="G615">
        <v>107232</v>
      </c>
      <c r="H615">
        <v>117470</v>
      </c>
      <c r="I615">
        <v>34.49</v>
      </c>
      <c r="J615">
        <v>18.25</v>
      </c>
      <c r="K615">
        <v>16.25</v>
      </c>
      <c r="M615">
        <v>3845</v>
      </c>
      <c r="N615">
        <v>36562</v>
      </c>
      <c r="O615">
        <v>0.12</v>
      </c>
      <c r="P615">
        <v>46.76</v>
      </c>
      <c r="R615">
        <f t="shared" si="18"/>
        <v>2</v>
      </c>
      <c r="S615" s="3">
        <f t="shared" si="19"/>
        <v>0.17249999999999999</v>
      </c>
    </row>
    <row r="616" spans="1:19" x14ac:dyDescent="0.3">
      <c r="A616" s="5">
        <v>44446</v>
      </c>
      <c r="B616" t="s">
        <v>61</v>
      </c>
      <c r="C616">
        <v>10616578</v>
      </c>
      <c r="D616">
        <v>5603757</v>
      </c>
      <c r="E616">
        <v>5012821</v>
      </c>
      <c r="G616">
        <v>80400</v>
      </c>
      <c r="H616">
        <v>116795</v>
      </c>
      <c r="I616">
        <v>34.75</v>
      </c>
      <c r="J616">
        <v>18.34</v>
      </c>
      <c r="K616">
        <v>16.41</v>
      </c>
      <c r="M616">
        <v>3823</v>
      </c>
      <c r="N616">
        <v>37786</v>
      </c>
      <c r="O616">
        <v>0.124</v>
      </c>
      <c r="P616">
        <v>46.76</v>
      </c>
      <c r="R616">
        <f t="shared" si="18"/>
        <v>1.9299999999999997</v>
      </c>
      <c r="S616" s="3">
        <f t="shared" si="19"/>
        <v>0.17374999999999999</v>
      </c>
    </row>
    <row r="617" spans="1:19" x14ac:dyDescent="0.3">
      <c r="A617" s="5">
        <v>44447</v>
      </c>
      <c r="B617" t="s">
        <v>61</v>
      </c>
      <c r="H617">
        <v>90306</v>
      </c>
      <c r="M617">
        <v>2956</v>
      </c>
      <c r="N617">
        <v>34562</v>
      </c>
      <c r="O617">
        <v>0.113</v>
      </c>
      <c r="P617">
        <v>46.76</v>
      </c>
      <c r="R617">
        <f t="shared" si="18"/>
        <v>0</v>
      </c>
      <c r="S617" s="3">
        <f t="shared" si="19"/>
        <v>0</v>
      </c>
    </row>
    <row r="618" spans="1:19" x14ac:dyDescent="0.3">
      <c r="A618" s="5">
        <v>44448</v>
      </c>
      <c r="B618" t="s">
        <v>61</v>
      </c>
      <c r="C618">
        <v>10832033</v>
      </c>
      <c r="D618">
        <v>5729789</v>
      </c>
      <c r="E618">
        <v>5102244</v>
      </c>
      <c r="H618">
        <v>104024</v>
      </c>
      <c r="I618">
        <v>35.46</v>
      </c>
      <c r="J618">
        <v>18.760000000000002</v>
      </c>
      <c r="K618">
        <v>16.7</v>
      </c>
      <c r="M618">
        <v>3405</v>
      </c>
      <c r="N618">
        <v>43414</v>
      </c>
      <c r="O618">
        <v>0.14199999999999999</v>
      </c>
      <c r="P618">
        <v>46.76</v>
      </c>
      <c r="R618">
        <f t="shared" si="18"/>
        <v>2.0600000000000023</v>
      </c>
      <c r="S618" s="3">
        <f t="shared" si="19"/>
        <v>0.17730000000000001</v>
      </c>
    </row>
    <row r="619" spans="1:19" x14ac:dyDescent="0.3">
      <c r="A619" s="5">
        <v>44449</v>
      </c>
      <c r="B619" t="s">
        <v>61</v>
      </c>
      <c r="C619">
        <v>10861222</v>
      </c>
      <c r="D619">
        <v>5740345</v>
      </c>
      <c r="E619">
        <v>5120877</v>
      </c>
      <c r="G619">
        <v>29189</v>
      </c>
      <c r="H619">
        <v>84722</v>
      </c>
      <c r="I619">
        <v>35.56</v>
      </c>
      <c r="J619">
        <v>18.79</v>
      </c>
      <c r="K619">
        <v>16.760000000000002</v>
      </c>
      <c r="M619">
        <v>2773</v>
      </c>
      <c r="N619">
        <v>38222</v>
      </c>
      <c r="O619">
        <v>0.125</v>
      </c>
      <c r="P619">
        <v>46.76</v>
      </c>
      <c r="R619">
        <f t="shared" si="18"/>
        <v>2.0299999999999976</v>
      </c>
      <c r="S619" s="3">
        <f t="shared" si="19"/>
        <v>0.17774999999999999</v>
      </c>
    </row>
    <row r="620" spans="1:19" x14ac:dyDescent="0.3">
      <c r="A620" s="5">
        <v>44450</v>
      </c>
      <c r="B620" t="s">
        <v>61</v>
      </c>
      <c r="C620">
        <v>10929852</v>
      </c>
      <c r="D620">
        <v>5769328</v>
      </c>
      <c r="E620">
        <v>5160524</v>
      </c>
      <c r="G620">
        <v>68630</v>
      </c>
      <c r="H620">
        <v>79155</v>
      </c>
      <c r="I620">
        <v>35.78</v>
      </c>
      <c r="J620">
        <v>18.89</v>
      </c>
      <c r="K620">
        <v>16.89</v>
      </c>
      <c r="M620">
        <v>2591</v>
      </c>
      <c r="N620">
        <v>36771</v>
      </c>
      <c r="O620">
        <v>0.12</v>
      </c>
      <c r="P620">
        <v>46.76</v>
      </c>
      <c r="R620">
        <f t="shared" si="18"/>
        <v>2</v>
      </c>
      <c r="S620" s="3">
        <f t="shared" si="19"/>
        <v>0.1789</v>
      </c>
    </row>
    <row r="621" spans="1:19" x14ac:dyDescent="0.3">
      <c r="A621" s="5">
        <v>44451</v>
      </c>
      <c r="B621" t="s">
        <v>61</v>
      </c>
      <c r="C621">
        <v>10940301</v>
      </c>
      <c r="D621">
        <v>5773612</v>
      </c>
      <c r="E621">
        <v>5166689</v>
      </c>
      <c r="G621">
        <v>10449</v>
      </c>
      <c r="H621">
        <v>73051</v>
      </c>
      <c r="I621">
        <v>35.81</v>
      </c>
      <c r="J621">
        <v>18.899999999999999</v>
      </c>
      <c r="K621">
        <v>16.91</v>
      </c>
      <c r="M621">
        <v>2391</v>
      </c>
      <c r="N621">
        <v>34260</v>
      </c>
      <c r="O621">
        <v>0.112</v>
      </c>
      <c r="P621">
        <v>46.76</v>
      </c>
      <c r="R621">
        <f t="shared" si="18"/>
        <v>1.9899999999999984</v>
      </c>
      <c r="S621" s="3">
        <f t="shared" si="19"/>
        <v>0.17905000000000001</v>
      </c>
    </row>
    <row r="622" spans="1:19" x14ac:dyDescent="0.3">
      <c r="A622" s="5">
        <v>44452</v>
      </c>
      <c r="B622" t="s">
        <v>61</v>
      </c>
      <c r="C622">
        <v>11032131</v>
      </c>
      <c r="D622">
        <v>5833938</v>
      </c>
      <c r="E622">
        <v>5198193</v>
      </c>
      <c r="G622">
        <v>91830</v>
      </c>
      <c r="H622">
        <v>70850</v>
      </c>
      <c r="I622">
        <v>36.11</v>
      </c>
      <c r="J622">
        <v>19.100000000000001</v>
      </c>
      <c r="K622">
        <v>17.02</v>
      </c>
      <c r="M622">
        <v>2319</v>
      </c>
      <c r="N622">
        <v>37217</v>
      </c>
      <c r="O622">
        <v>0.122</v>
      </c>
      <c r="P622">
        <v>46.76</v>
      </c>
      <c r="R622">
        <f t="shared" si="18"/>
        <v>2.0800000000000018</v>
      </c>
      <c r="S622" s="3">
        <f t="shared" si="19"/>
        <v>0.18060000000000001</v>
      </c>
    </row>
    <row r="623" spans="1:19" x14ac:dyDescent="0.3">
      <c r="A623" s="5">
        <v>44453</v>
      </c>
      <c r="B623" t="s">
        <v>61</v>
      </c>
      <c r="C623">
        <v>11120315</v>
      </c>
      <c r="D623">
        <v>5877079</v>
      </c>
      <c r="E623">
        <v>5243236</v>
      </c>
      <c r="G623">
        <v>88184</v>
      </c>
      <c r="H623">
        <v>71962</v>
      </c>
      <c r="I623">
        <v>36.4</v>
      </c>
      <c r="J623">
        <v>19.239999999999998</v>
      </c>
      <c r="K623">
        <v>17.16</v>
      </c>
      <c r="M623">
        <v>2356</v>
      </c>
      <c r="N623">
        <v>39046</v>
      </c>
      <c r="O623">
        <v>0.128</v>
      </c>
      <c r="P623">
        <v>46.76</v>
      </c>
      <c r="R623">
        <f t="shared" si="18"/>
        <v>2.0799999999999983</v>
      </c>
      <c r="S623" s="3">
        <f t="shared" si="19"/>
        <v>0.182</v>
      </c>
    </row>
    <row r="624" spans="1:19" x14ac:dyDescent="0.3">
      <c r="A624" s="5">
        <v>44454</v>
      </c>
      <c r="B624" t="s">
        <v>61</v>
      </c>
      <c r="C624">
        <v>11419446</v>
      </c>
      <c r="D624">
        <v>6004019</v>
      </c>
      <c r="E624">
        <v>5415427</v>
      </c>
      <c r="G624">
        <v>299131</v>
      </c>
      <c r="H624">
        <v>99306</v>
      </c>
      <c r="I624">
        <v>37.380000000000003</v>
      </c>
      <c r="J624">
        <v>19.649999999999999</v>
      </c>
      <c r="K624">
        <v>17.73</v>
      </c>
      <c r="M624">
        <v>3251</v>
      </c>
      <c r="N624">
        <v>48178</v>
      </c>
      <c r="O624">
        <v>0.158</v>
      </c>
      <c r="P624">
        <v>46.76</v>
      </c>
      <c r="R624">
        <f t="shared" si="18"/>
        <v>1.9199999999999982</v>
      </c>
      <c r="S624" s="3">
        <f t="shared" si="19"/>
        <v>0.18689999999999998</v>
      </c>
    </row>
    <row r="625" spans="1:19" x14ac:dyDescent="0.3">
      <c r="A625" s="5">
        <v>44455</v>
      </c>
      <c r="B625" t="s">
        <v>61</v>
      </c>
      <c r="C625">
        <v>11530345</v>
      </c>
      <c r="D625">
        <v>6057194</v>
      </c>
      <c r="E625">
        <v>5473151</v>
      </c>
      <c r="G625">
        <v>110899</v>
      </c>
      <c r="H625">
        <v>99759</v>
      </c>
      <c r="I625">
        <v>37.75</v>
      </c>
      <c r="J625">
        <v>19.829999999999998</v>
      </c>
      <c r="K625">
        <v>17.920000000000002</v>
      </c>
      <c r="M625">
        <v>3266</v>
      </c>
      <c r="N625">
        <v>46772</v>
      </c>
      <c r="O625">
        <v>0.153</v>
      </c>
      <c r="P625">
        <v>46.76</v>
      </c>
      <c r="R625">
        <f t="shared" si="18"/>
        <v>1.9099999999999966</v>
      </c>
      <c r="S625" s="3">
        <f t="shared" si="19"/>
        <v>0.18875</v>
      </c>
    </row>
    <row r="626" spans="1:19" x14ac:dyDescent="0.3">
      <c r="A626" s="5">
        <v>44456</v>
      </c>
      <c r="B626" t="s">
        <v>61</v>
      </c>
      <c r="C626">
        <v>11590504</v>
      </c>
      <c r="D626">
        <v>6083124</v>
      </c>
      <c r="E626">
        <v>5507380</v>
      </c>
      <c r="G626">
        <v>60159</v>
      </c>
      <c r="H626">
        <v>104183</v>
      </c>
      <c r="I626">
        <v>37.94</v>
      </c>
      <c r="J626">
        <v>19.91</v>
      </c>
      <c r="K626">
        <v>18.03</v>
      </c>
      <c r="M626">
        <v>3411</v>
      </c>
      <c r="N626">
        <v>48968</v>
      </c>
      <c r="O626">
        <v>0.16</v>
      </c>
      <c r="P626">
        <v>46.76</v>
      </c>
      <c r="R626">
        <f t="shared" si="18"/>
        <v>1.879999999999999</v>
      </c>
      <c r="S626" s="3">
        <f t="shared" si="19"/>
        <v>0.18969999999999998</v>
      </c>
    </row>
    <row r="627" spans="1:19" x14ac:dyDescent="0.3">
      <c r="A627" s="5">
        <v>44457</v>
      </c>
      <c r="B627" t="s">
        <v>61</v>
      </c>
      <c r="C627">
        <v>11760821</v>
      </c>
      <c r="D627">
        <v>6198936</v>
      </c>
      <c r="E627">
        <v>5561885</v>
      </c>
      <c r="G627">
        <v>170317</v>
      </c>
      <c r="H627">
        <v>118710</v>
      </c>
      <c r="I627">
        <v>38.5</v>
      </c>
      <c r="J627">
        <v>20.29</v>
      </c>
      <c r="K627">
        <v>18.21</v>
      </c>
      <c r="M627">
        <v>3886</v>
      </c>
      <c r="N627">
        <v>61373</v>
      </c>
      <c r="O627">
        <v>0.20100000000000001</v>
      </c>
      <c r="P627">
        <v>46.76</v>
      </c>
      <c r="R627">
        <f t="shared" si="18"/>
        <v>2.0799999999999983</v>
      </c>
      <c r="S627" s="3">
        <f t="shared" si="19"/>
        <v>0.1925</v>
      </c>
    </row>
    <row r="628" spans="1:19" x14ac:dyDescent="0.3">
      <c r="A628" s="5">
        <v>44458</v>
      </c>
      <c r="B628" t="s">
        <v>61</v>
      </c>
      <c r="C628">
        <v>11782181</v>
      </c>
      <c r="D628">
        <v>6203316</v>
      </c>
      <c r="E628">
        <v>5578865</v>
      </c>
      <c r="G628">
        <v>21360</v>
      </c>
      <c r="H628">
        <v>120269</v>
      </c>
      <c r="I628">
        <v>38.57</v>
      </c>
      <c r="J628">
        <v>20.309999999999999</v>
      </c>
      <c r="K628">
        <v>18.260000000000002</v>
      </c>
      <c r="M628">
        <v>3937</v>
      </c>
      <c r="N628">
        <v>61386</v>
      </c>
      <c r="O628">
        <v>0.20100000000000001</v>
      </c>
      <c r="P628">
        <v>46.76</v>
      </c>
      <c r="R628">
        <f t="shared" si="18"/>
        <v>2.0499999999999972</v>
      </c>
      <c r="S628" s="3">
        <f t="shared" si="19"/>
        <v>0.19284999999999999</v>
      </c>
    </row>
    <row r="629" spans="1:19" x14ac:dyDescent="0.3">
      <c r="A629" s="5">
        <v>44459</v>
      </c>
      <c r="B629" t="s">
        <v>61</v>
      </c>
      <c r="H629">
        <v>118267</v>
      </c>
      <c r="M629">
        <v>3872</v>
      </c>
      <c r="N629">
        <v>55600</v>
      </c>
      <c r="O629">
        <v>0.182</v>
      </c>
      <c r="P629">
        <v>46.76</v>
      </c>
      <c r="R629">
        <f t="shared" si="18"/>
        <v>0</v>
      </c>
      <c r="S629" s="3">
        <f t="shared" si="19"/>
        <v>0</v>
      </c>
    </row>
    <row r="630" spans="1:19" x14ac:dyDescent="0.3">
      <c r="A630" s="5">
        <v>44460</v>
      </c>
      <c r="B630" t="s">
        <v>61</v>
      </c>
      <c r="H630">
        <v>116786</v>
      </c>
      <c r="M630">
        <v>3823</v>
      </c>
      <c r="N630">
        <v>52269</v>
      </c>
      <c r="O630">
        <v>0.17100000000000001</v>
      </c>
      <c r="P630">
        <v>46.76</v>
      </c>
      <c r="R630">
        <f t="shared" si="18"/>
        <v>0</v>
      </c>
      <c r="S630" s="3">
        <f t="shared" si="19"/>
        <v>0</v>
      </c>
    </row>
    <row r="631" spans="1:19" x14ac:dyDescent="0.3">
      <c r="A631" s="5">
        <v>44461</v>
      </c>
      <c r="B631" t="s">
        <v>61</v>
      </c>
      <c r="C631">
        <v>12015633</v>
      </c>
      <c r="D631">
        <v>6262780</v>
      </c>
      <c r="E631">
        <v>5752853</v>
      </c>
      <c r="H631">
        <v>85170</v>
      </c>
      <c r="I631">
        <v>39.33</v>
      </c>
      <c r="J631">
        <v>20.5</v>
      </c>
      <c r="K631">
        <v>18.829999999999998</v>
      </c>
      <c r="M631">
        <v>2788</v>
      </c>
      <c r="N631">
        <v>36966</v>
      </c>
      <c r="O631">
        <v>0.121</v>
      </c>
      <c r="P631">
        <v>46.76</v>
      </c>
      <c r="R631">
        <f t="shared" si="18"/>
        <v>1.6700000000000017</v>
      </c>
      <c r="S631" s="3">
        <f t="shared" si="19"/>
        <v>0.19664999999999999</v>
      </c>
    </row>
    <row r="632" spans="1:19" x14ac:dyDescent="0.3">
      <c r="A632" s="5">
        <v>44462</v>
      </c>
      <c r="B632" t="s">
        <v>61</v>
      </c>
      <c r="C632">
        <v>12154018</v>
      </c>
      <c r="D632">
        <v>6293089</v>
      </c>
      <c r="E632">
        <v>5860929</v>
      </c>
      <c r="G632">
        <v>138385</v>
      </c>
      <c r="H632">
        <v>89096</v>
      </c>
      <c r="I632">
        <v>39.79</v>
      </c>
      <c r="J632">
        <v>20.6</v>
      </c>
      <c r="K632">
        <v>19.190000000000001</v>
      </c>
      <c r="M632">
        <v>2917</v>
      </c>
      <c r="N632">
        <v>33699</v>
      </c>
      <c r="O632">
        <v>0.11</v>
      </c>
      <c r="P632">
        <v>46.76</v>
      </c>
      <c r="R632">
        <f t="shared" si="18"/>
        <v>1.4100000000000001</v>
      </c>
      <c r="S632" s="3">
        <f t="shared" si="19"/>
        <v>0.19895000000000004</v>
      </c>
    </row>
    <row r="633" spans="1:19" x14ac:dyDescent="0.3">
      <c r="A633" s="5">
        <v>44463</v>
      </c>
      <c r="B633" t="s">
        <v>61</v>
      </c>
      <c r="C633">
        <v>12326608</v>
      </c>
      <c r="D633">
        <v>6380586</v>
      </c>
      <c r="E633">
        <v>5946022</v>
      </c>
      <c r="G633">
        <v>172590</v>
      </c>
      <c r="H633">
        <v>105158</v>
      </c>
      <c r="I633">
        <v>40.35</v>
      </c>
      <c r="J633">
        <v>20.89</v>
      </c>
      <c r="K633">
        <v>19.46</v>
      </c>
      <c r="M633">
        <v>3442</v>
      </c>
      <c r="N633">
        <v>42495</v>
      </c>
      <c r="O633">
        <v>0.13900000000000001</v>
      </c>
      <c r="P633">
        <v>46.76</v>
      </c>
      <c r="R633">
        <f t="shared" si="18"/>
        <v>1.4299999999999997</v>
      </c>
      <c r="S633" s="3">
        <f t="shared" si="19"/>
        <v>0.20175000000000001</v>
      </c>
    </row>
    <row r="634" spans="1:19" x14ac:dyDescent="0.3">
      <c r="A634" s="5">
        <v>44464</v>
      </c>
      <c r="B634" t="s">
        <v>61</v>
      </c>
      <c r="C634">
        <v>12543333</v>
      </c>
      <c r="D634">
        <v>6528392</v>
      </c>
      <c r="E634">
        <v>6014941</v>
      </c>
      <c r="G634">
        <v>216725</v>
      </c>
      <c r="H634">
        <v>111787</v>
      </c>
      <c r="I634">
        <v>41.06</v>
      </c>
      <c r="J634">
        <v>21.37</v>
      </c>
      <c r="K634">
        <v>19.690000000000001</v>
      </c>
      <c r="M634">
        <v>3659</v>
      </c>
      <c r="N634">
        <v>47065</v>
      </c>
      <c r="O634">
        <v>0.154</v>
      </c>
      <c r="P634">
        <v>46.76</v>
      </c>
      <c r="R634">
        <f t="shared" si="18"/>
        <v>1.6799999999999997</v>
      </c>
      <c r="S634" s="3">
        <f t="shared" si="19"/>
        <v>0.20530000000000001</v>
      </c>
    </row>
    <row r="635" spans="1:19" x14ac:dyDescent="0.3">
      <c r="A635" s="5">
        <v>44465</v>
      </c>
      <c r="B635" t="s">
        <v>61</v>
      </c>
      <c r="C635">
        <v>12645634</v>
      </c>
      <c r="D635">
        <v>6609233</v>
      </c>
      <c r="E635">
        <v>6036401</v>
      </c>
      <c r="G635">
        <v>102301</v>
      </c>
      <c r="H635">
        <v>123350</v>
      </c>
      <c r="I635">
        <v>41.4</v>
      </c>
      <c r="J635">
        <v>21.64</v>
      </c>
      <c r="K635">
        <v>19.760000000000002</v>
      </c>
      <c r="M635">
        <v>4038</v>
      </c>
      <c r="N635">
        <v>57988</v>
      </c>
      <c r="O635">
        <v>0.19</v>
      </c>
      <c r="P635">
        <v>46.76</v>
      </c>
      <c r="R635">
        <f t="shared" si="18"/>
        <v>1.879999999999999</v>
      </c>
      <c r="S635" s="3">
        <f t="shared" si="19"/>
        <v>0.20700000000000002</v>
      </c>
    </row>
    <row r="636" spans="1:19" x14ac:dyDescent="0.3">
      <c r="A636" s="5">
        <v>44466</v>
      </c>
      <c r="B636" t="s">
        <v>61</v>
      </c>
      <c r="C636">
        <v>12958508</v>
      </c>
      <c r="D636">
        <v>6793456</v>
      </c>
      <c r="E636">
        <v>6165052</v>
      </c>
      <c r="G636">
        <v>312874</v>
      </c>
      <c r="H636">
        <v>156930</v>
      </c>
      <c r="I636">
        <v>42.42</v>
      </c>
      <c r="J636">
        <v>22.24</v>
      </c>
      <c r="K636">
        <v>20.18</v>
      </c>
      <c r="M636">
        <v>5137</v>
      </c>
      <c r="N636">
        <v>81474</v>
      </c>
      <c r="O636">
        <v>0.26700000000000002</v>
      </c>
      <c r="P636">
        <v>46.76</v>
      </c>
      <c r="R636">
        <f t="shared" si="18"/>
        <v>2.0599999999999987</v>
      </c>
      <c r="S636" s="3">
        <f t="shared" si="19"/>
        <v>0.21210000000000001</v>
      </c>
    </row>
    <row r="637" spans="1:19" x14ac:dyDescent="0.3">
      <c r="A637" s="5">
        <v>44467</v>
      </c>
      <c r="B637" t="s">
        <v>61</v>
      </c>
      <c r="C637">
        <v>13166598</v>
      </c>
      <c r="D637">
        <v>6960828</v>
      </c>
      <c r="E637">
        <v>6205770</v>
      </c>
      <c r="G637">
        <v>208090</v>
      </c>
      <c r="H637">
        <v>175540</v>
      </c>
      <c r="I637">
        <v>43.1</v>
      </c>
      <c r="J637">
        <v>22.79</v>
      </c>
      <c r="K637">
        <v>20.32</v>
      </c>
      <c r="M637">
        <v>5746</v>
      </c>
      <c r="N637">
        <v>102553</v>
      </c>
      <c r="O637">
        <v>0.33600000000000002</v>
      </c>
      <c r="P637">
        <v>46.76</v>
      </c>
      <c r="R637">
        <f t="shared" si="18"/>
        <v>2.4699999999999989</v>
      </c>
      <c r="S637" s="3">
        <f t="shared" si="19"/>
        <v>0.21554999999999999</v>
      </c>
    </row>
    <row r="638" spans="1:19" x14ac:dyDescent="0.3">
      <c r="A638" s="5">
        <v>44468</v>
      </c>
      <c r="B638" t="s">
        <v>61</v>
      </c>
      <c r="C638">
        <v>13452743</v>
      </c>
      <c r="D638">
        <v>7214742</v>
      </c>
      <c r="E638">
        <v>6238001</v>
      </c>
      <c r="G638">
        <v>286145</v>
      </c>
      <c r="H638">
        <v>205301</v>
      </c>
      <c r="I638">
        <v>44.04</v>
      </c>
      <c r="J638">
        <v>23.62</v>
      </c>
      <c r="K638">
        <v>20.420000000000002</v>
      </c>
      <c r="M638">
        <v>6721</v>
      </c>
      <c r="N638">
        <v>135995</v>
      </c>
      <c r="O638">
        <v>0.44500000000000001</v>
      </c>
      <c r="P638">
        <v>46.76</v>
      </c>
      <c r="R638">
        <f t="shared" si="18"/>
        <v>3.1999999999999993</v>
      </c>
      <c r="S638" s="3">
        <f t="shared" si="19"/>
        <v>0.22020000000000003</v>
      </c>
    </row>
    <row r="639" spans="1:19" x14ac:dyDescent="0.3">
      <c r="A639" s="5">
        <v>44469</v>
      </c>
      <c r="B639" t="s">
        <v>61</v>
      </c>
      <c r="C639">
        <v>13742124</v>
      </c>
      <c r="D639">
        <v>7456384</v>
      </c>
      <c r="E639">
        <v>6285740</v>
      </c>
      <c r="G639">
        <v>289381</v>
      </c>
      <c r="H639">
        <v>226872</v>
      </c>
      <c r="I639">
        <v>44.99</v>
      </c>
      <c r="J639">
        <v>24.41</v>
      </c>
      <c r="K639">
        <v>20.58</v>
      </c>
      <c r="M639">
        <v>7427</v>
      </c>
      <c r="N639">
        <v>166185</v>
      </c>
      <c r="O639">
        <v>0.54400000000000004</v>
      </c>
      <c r="P639">
        <v>46.76</v>
      </c>
      <c r="R639">
        <f t="shared" si="18"/>
        <v>3.8300000000000018</v>
      </c>
      <c r="S639" s="3">
        <f t="shared" si="19"/>
        <v>0.22494999999999998</v>
      </c>
    </row>
    <row r="640" spans="1:19" x14ac:dyDescent="0.3">
      <c r="A640" s="5">
        <v>44470</v>
      </c>
      <c r="B640" t="s">
        <v>61</v>
      </c>
      <c r="H640">
        <v>223700</v>
      </c>
      <c r="M640">
        <v>7323</v>
      </c>
      <c r="N640">
        <v>170702</v>
      </c>
      <c r="O640">
        <v>0.55900000000000005</v>
      </c>
      <c r="P640">
        <v>33.33</v>
      </c>
      <c r="R640">
        <f t="shared" si="18"/>
        <v>0</v>
      </c>
      <c r="S640" s="3">
        <f t="shared" si="19"/>
        <v>0</v>
      </c>
    </row>
    <row r="641" spans="1:19" x14ac:dyDescent="0.3">
      <c r="A641" s="5">
        <v>44471</v>
      </c>
      <c r="B641" t="s">
        <v>61</v>
      </c>
      <c r="C641">
        <v>14042888</v>
      </c>
      <c r="D641">
        <v>7694609</v>
      </c>
      <c r="E641">
        <v>6348279</v>
      </c>
      <c r="H641">
        <v>214222</v>
      </c>
      <c r="I641">
        <v>45.97</v>
      </c>
      <c r="J641">
        <v>25.19</v>
      </c>
      <c r="K641">
        <v>20.78</v>
      </c>
      <c r="M641">
        <v>7013</v>
      </c>
      <c r="N641">
        <v>166602</v>
      </c>
      <c r="O641">
        <v>0.54500000000000004</v>
      </c>
      <c r="P641">
        <v>33.33</v>
      </c>
      <c r="R641">
        <f t="shared" si="18"/>
        <v>4.41</v>
      </c>
      <c r="S641" s="3">
        <f t="shared" si="19"/>
        <v>0.22985</v>
      </c>
    </row>
    <row r="642" spans="1:19" x14ac:dyDescent="0.3">
      <c r="A642" s="5">
        <v>44472</v>
      </c>
      <c r="B642" t="s">
        <v>61</v>
      </c>
      <c r="C642">
        <v>14069307</v>
      </c>
      <c r="D642">
        <v>7716985</v>
      </c>
      <c r="E642">
        <v>6352322</v>
      </c>
      <c r="G642">
        <v>26419</v>
      </c>
      <c r="H642">
        <v>203382</v>
      </c>
      <c r="I642">
        <v>46.06</v>
      </c>
      <c r="J642">
        <v>25.26</v>
      </c>
      <c r="K642">
        <v>20.79</v>
      </c>
      <c r="M642">
        <v>6658</v>
      </c>
      <c r="N642">
        <v>158250</v>
      </c>
      <c r="O642">
        <v>0.51800000000000002</v>
      </c>
      <c r="P642">
        <v>33.33</v>
      </c>
      <c r="R642">
        <f t="shared" si="18"/>
        <v>4.4700000000000024</v>
      </c>
      <c r="S642" s="3">
        <f t="shared" si="19"/>
        <v>0.23024999999999998</v>
      </c>
    </row>
    <row r="643" spans="1:19" x14ac:dyDescent="0.3">
      <c r="A643" s="5">
        <v>44473</v>
      </c>
      <c r="B643" t="s">
        <v>61</v>
      </c>
      <c r="C643">
        <v>14189855</v>
      </c>
      <c r="D643">
        <v>7805683</v>
      </c>
      <c r="E643">
        <v>6384172</v>
      </c>
      <c r="G643">
        <v>120548</v>
      </c>
      <c r="H643">
        <v>175907</v>
      </c>
      <c r="I643">
        <v>46.45</v>
      </c>
      <c r="J643">
        <v>25.55</v>
      </c>
      <c r="K643">
        <v>20.9</v>
      </c>
      <c r="M643">
        <v>5758</v>
      </c>
      <c r="N643">
        <v>144604</v>
      </c>
      <c r="O643">
        <v>0.47299999999999998</v>
      </c>
      <c r="P643">
        <v>33.33</v>
      </c>
      <c r="R643">
        <f t="shared" si="18"/>
        <v>4.6500000000000021</v>
      </c>
      <c r="S643" s="3">
        <f t="shared" si="19"/>
        <v>0.23225000000000001</v>
      </c>
    </row>
    <row r="644" spans="1:19" x14ac:dyDescent="0.3">
      <c r="A644" s="5">
        <v>44474</v>
      </c>
      <c r="B644" t="s">
        <v>61</v>
      </c>
      <c r="C644">
        <v>14322751</v>
      </c>
      <c r="D644">
        <v>7913555</v>
      </c>
      <c r="E644">
        <v>6409196</v>
      </c>
      <c r="G644">
        <v>132896</v>
      </c>
      <c r="H644">
        <v>165165</v>
      </c>
      <c r="I644">
        <v>46.89</v>
      </c>
      <c r="J644">
        <v>25.91</v>
      </c>
      <c r="K644">
        <v>20.98</v>
      </c>
      <c r="M644">
        <v>5407</v>
      </c>
      <c r="N644">
        <v>136104</v>
      </c>
      <c r="O644">
        <v>0.44600000000000001</v>
      </c>
      <c r="P644">
        <v>33.33</v>
      </c>
      <c r="R644">
        <f t="shared" si="18"/>
        <v>4.93</v>
      </c>
      <c r="S644" s="3">
        <f t="shared" si="19"/>
        <v>0.23444999999999999</v>
      </c>
    </row>
    <row r="645" spans="1:19" x14ac:dyDescent="0.3">
      <c r="A645" s="5">
        <v>44475</v>
      </c>
      <c r="B645" t="s">
        <v>61</v>
      </c>
      <c r="C645">
        <v>14382127</v>
      </c>
      <c r="D645">
        <v>7962647</v>
      </c>
      <c r="E645">
        <v>6419480</v>
      </c>
      <c r="G645">
        <v>59376</v>
      </c>
      <c r="H645">
        <v>132769</v>
      </c>
      <c r="I645">
        <v>47.08</v>
      </c>
      <c r="J645">
        <v>26.07</v>
      </c>
      <c r="K645">
        <v>21.01</v>
      </c>
      <c r="M645">
        <v>4346</v>
      </c>
      <c r="N645">
        <v>106844</v>
      </c>
      <c r="O645">
        <v>0.35</v>
      </c>
      <c r="P645">
        <v>33.33</v>
      </c>
      <c r="R645">
        <f t="shared" si="18"/>
        <v>5.0599999999999987</v>
      </c>
      <c r="S645" s="3">
        <f t="shared" si="19"/>
        <v>0.2354</v>
      </c>
    </row>
    <row r="646" spans="1:19" x14ac:dyDescent="0.3">
      <c r="A646" s="5">
        <v>44476</v>
      </c>
      <c r="B646" t="s">
        <v>61</v>
      </c>
      <c r="C646">
        <v>14439285</v>
      </c>
      <c r="D646">
        <v>8008854</v>
      </c>
      <c r="E646">
        <v>6430431</v>
      </c>
      <c r="G646">
        <v>57158</v>
      </c>
      <c r="H646">
        <v>99594</v>
      </c>
      <c r="I646">
        <v>47.27</v>
      </c>
      <c r="J646">
        <v>26.22</v>
      </c>
      <c r="K646">
        <v>21.05</v>
      </c>
      <c r="M646">
        <v>3260</v>
      </c>
      <c r="N646">
        <v>78924</v>
      </c>
      <c r="O646">
        <v>0.25800000000000001</v>
      </c>
      <c r="P646">
        <v>33.33</v>
      </c>
      <c r="R646">
        <f t="shared" ref="R646:R709" si="20">J646-K646</f>
        <v>5.1699999999999982</v>
      </c>
      <c r="S646" s="3">
        <f t="shared" ref="S646:S709" si="21">MIN(1, (0.5*MAX(R646,0) + 1*K646)/100 )</f>
        <v>0.23634999999999998</v>
      </c>
    </row>
    <row r="647" spans="1:19" x14ac:dyDescent="0.3">
      <c r="A647" s="5">
        <v>44477</v>
      </c>
      <c r="B647" t="s">
        <v>61</v>
      </c>
      <c r="C647">
        <v>14483226</v>
      </c>
      <c r="D647">
        <v>8041594</v>
      </c>
      <c r="E647">
        <v>6441632</v>
      </c>
      <c r="G647">
        <v>43941</v>
      </c>
      <c r="H647">
        <v>84389</v>
      </c>
      <c r="I647">
        <v>47.41</v>
      </c>
      <c r="J647">
        <v>26.32</v>
      </c>
      <c r="K647">
        <v>21.09</v>
      </c>
      <c r="M647">
        <v>2763</v>
      </c>
      <c r="N647">
        <v>66585</v>
      </c>
      <c r="O647">
        <v>0.218</v>
      </c>
      <c r="P647">
        <v>33.33</v>
      </c>
      <c r="R647">
        <f t="shared" si="20"/>
        <v>5.23</v>
      </c>
      <c r="S647" s="3">
        <f t="shared" si="21"/>
        <v>0.23704999999999998</v>
      </c>
    </row>
    <row r="648" spans="1:19" x14ac:dyDescent="0.3">
      <c r="A648" s="5">
        <v>44478</v>
      </c>
      <c r="B648" t="s">
        <v>61</v>
      </c>
      <c r="C648">
        <v>14574219</v>
      </c>
      <c r="D648">
        <v>8127262</v>
      </c>
      <c r="E648">
        <v>6446957</v>
      </c>
      <c r="G648">
        <v>90993</v>
      </c>
      <c r="H648">
        <v>75904</v>
      </c>
      <c r="I648">
        <v>47.71</v>
      </c>
      <c r="J648">
        <v>26.61</v>
      </c>
      <c r="K648">
        <v>21.1</v>
      </c>
      <c r="M648">
        <v>2485</v>
      </c>
      <c r="N648">
        <v>61808</v>
      </c>
      <c r="O648">
        <v>0.20200000000000001</v>
      </c>
      <c r="P648">
        <v>33.33</v>
      </c>
      <c r="R648">
        <f t="shared" si="20"/>
        <v>5.509999999999998</v>
      </c>
      <c r="S648" s="3">
        <f t="shared" si="21"/>
        <v>0.23855000000000001</v>
      </c>
    </row>
    <row r="649" spans="1:19" x14ac:dyDescent="0.3">
      <c r="A649" s="5">
        <v>44479</v>
      </c>
      <c r="B649" t="s">
        <v>61</v>
      </c>
      <c r="C649">
        <v>14653146</v>
      </c>
      <c r="D649">
        <v>8202502</v>
      </c>
      <c r="E649">
        <v>6450644</v>
      </c>
      <c r="G649">
        <v>78927</v>
      </c>
      <c r="H649">
        <v>83406</v>
      </c>
      <c r="I649">
        <v>47.97</v>
      </c>
      <c r="J649">
        <v>26.85</v>
      </c>
      <c r="K649">
        <v>21.12</v>
      </c>
      <c r="M649">
        <v>2730</v>
      </c>
      <c r="N649">
        <v>69360</v>
      </c>
      <c r="O649">
        <v>0.22700000000000001</v>
      </c>
      <c r="P649">
        <v>33.33</v>
      </c>
      <c r="R649">
        <f t="shared" si="20"/>
        <v>5.73</v>
      </c>
      <c r="S649" s="3">
        <f t="shared" si="21"/>
        <v>0.23985000000000001</v>
      </c>
    </row>
    <row r="650" spans="1:19" x14ac:dyDescent="0.3">
      <c r="A650" s="5">
        <v>44480</v>
      </c>
      <c r="B650" t="s">
        <v>61</v>
      </c>
      <c r="C650">
        <v>14780678</v>
      </c>
      <c r="D650">
        <v>8317902</v>
      </c>
      <c r="E650">
        <v>6462776</v>
      </c>
      <c r="G650">
        <v>127532</v>
      </c>
      <c r="H650">
        <v>84403</v>
      </c>
      <c r="I650">
        <v>48.39</v>
      </c>
      <c r="J650">
        <v>27.23</v>
      </c>
      <c r="K650">
        <v>21.16</v>
      </c>
      <c r="M650">
        <v>2763</v>
      </c>
      <c r="N650">
        <v>73174</v>
      </c>
      <c r="O650">
        <v>0.24</v>
      </c>
      <c r="P650">
        <v>33.33</v>
      </c>
      <c r="R650">
        <f t="shared" si="20"/>
        <v>6.07</v>
      </c>
      <c r="S650" s="3">
        <f t="shared" si="21"/>
        <v>0.24195</v>
      </c>
    </row>
    <row r="651" spans="1:19" x14ac:dyDescent="0.3">
      <c r="A651" s="5">
        <v>44481</v>
      </c>
      <c r="B651" t="s">
        <v>61</v>
      </c>
      <c r="C651">
        <v>14850502</v>
      </c>
      <c r="D651">
        <v>8381727</v>
      </c>
      <c r="E651">
        <v>6468775</v>
      </c>
      <c r="G651">
        <v>69824</v>
      </c>
      <c r="H651">
        <v>75393</v>
      </c>
      <c r="I651">
        <v>48.61</v>
      </c>
      <c r="J651">
        <v>27.44</v>
      </c>
      <c r="K651">
        <v>21.18</v>
      </c>
      <c r="M651">
        <v>2468</v>
      </c>
      <c r="N651">
        <v>66882</v>
      </c>
      <c r="O651">
        <v>0.219</v>
      </c>
      <c r="P651">
        <v>33.33</v>
      </c>
      <c r="R651">
        <f t="shared" si="20"/>
        <v>6.2600000000000016</v>
      </c>
      <c r="S651" s="3">
        <f t="shared" si="21"/>
        <v>0.24310000000000001</v>
      </c>
    </row>
    <row r="652" spans="1:19" x14ac:dyDescent="0.3">
      <c r="A652" s="5">
        <v>44482</v>
      </c>
      <c r="B652" t="s">
        <v>61</v>
      </c>
      <c r="C652">
        <v>14852777</v>
      </c>
      <c r="D652">
        <v>8383887</v>
      </c>
      <c r="E652">
        <v>6468890</v>
      </c>
      <c r="G652">
        <v>2275</v>
      </c>
      <c r="H652">
        <v>67236</v>
      </c>
      <c r="I652">
        <v>48.62</v>
      </c>
      <c r="J652">
        <v>27.45</v>
      </c>
      <c r="K652">
        <v>21.18</v>
      </c>
      <c r="M652">
        <v>2201</v>
      </c>
      <c r="N652">
        <v>60177</v>
      </c>
      <c r="O652">
        <v>0.19700000000000001</v>
      </c>
      <c r="P652">
        <v>33.33</v>
      </c>
      <c r="R652">
        <f t="shared" si="20"/>
        <v>6.27</v>
      </c>
      <c r="S652" s="3">
        <f t="shared" si="21"/>
        <v>0.24314999999999998</v>
      </c>
    </row>
    <row r="653" spans="1:19" x14ac:dyDescent="0.3">
      <c r="A653" s="5">
        <v>44483</v>
      </c>
      <c r="B653" t="s">
        <v>61</v>
      </c>
      <c r="C653">
        <v>14857561</v>
      </c>
      <c r="D653">
        <v>8388402</v>
      </c>
      <c r="E653">
        <v>6469159</v>
      </c>
      <c r="G653">
        <v>4784</v>
      </c>
      <c r="H653">
        <v>59754</v>
      </c>
      <c r="I653">
        <v>48.64</v>
      </c>
      <c r="J653">
        <v>27.46</v>
      </c>
      <c r="K653">
        <v>21.18</v>
      </c>
      <c r="M653">
        <v>1956</v>
      </c>
      <c r="N653">
        <v>54221</v>
      </c>
      <c r="O653">
        <v>0.17699999999999999</v>
      </c>
      <c r="P653">
        <v>33.33</v>
      </c>
      <c r="R653">
        <f t="shared" si="20"/>
        <v>6.2800000000000011</v>
      </c>
      <c r="S653" s="3">
        <f t="shared" si="21"/>
        <v>0.2432</v>
      </c>
    </row>
    <row r="654" spans="1:19" x14ac:dyDescent="0.3">
      <c r="A654" s="5">
        <v>44484</v>
      </c>
      <c r="B654" t="s">
        <v>61</v>
      </c>
      <c r="H654">
        <v>54466</v>
      </c>
      <c r="M654">
        <v>1783</v>
      </c>
      <c r="N654">
        <v>50496</v>
      </c>
      <c r="O654">
        <v>0.16500000000000001</v>
      </c>
      <c r="P654">
        <v>33.33</v>
      </c>
      <c r="R654">
        <f t="shared" si="20"/>
        <v>0</v>
      </c>
      <c r="S654" s="3">
        <f t="shared" si="21"/>
        <v>0</v>
      </c>
    </row>
    <row r="655" spans="1:19" x14ac:dyDescent="0.3">
      <c r="A655" s="5">
        <v>44485</v>
      </c>
      <c r="B655" t="s">
        <v>61</v>
      </c>
      <c r="H655">
        <v>42456</v>
      </c>
      <c r="M655">
        <v>1390</v>
      </c>
      <c r="N655">
        <v>39210</v>
      </c>
      <c r="O655">
        <v>0.128</v>
      </c>
      <c r="P655">
        <v>33.33</v>
      </c>
      <c r="R655">
        <f t="shared" si="20"/>
        <v>0</v>
      </c>
      <c r="S655" s="3">
        <f t="shared" si="21"/>
        <v>0</v>
      </c>
    </row>
    <row r="656" spans="1:19" x14ac:dyDescent="0.3">
      <c r="A656" s="5">
        <v>44486</v>
      </c>
      <c r="B656" t="s">
        <v>61</v>
      </c>
      <c r="H656">
        <v>32170</v>
      </c>
      <c r="M656">
        <v>1053</v>
      </c>
      <c r="N656">
        <v>29414</v>
      </c>
      <c r="O656">
        <v>9.6000000000000002E-2</v>
      </c>
      <c r="P656">
        <v>33.33</v>
      </c>
      <c r="R656">
        <f t="shared" si="20"/>
        <v>0</v>
      </c>
      <c r="S656" s="3">
        <f t="shared" si="21"/>
        <v>0</v>
      </c>
    </row>
    <row r="657" spans="1:19" x14ac:dyDescent="0.3">
      <c r="A657" s="5">
        <v>44487</v>
      </c>
      <c r="B657" t="s">
        <v>61</v>
      </c>
      <c r="C657">
        <v>14885262</v>
      </c>
      <c r="D657">
        <v>8415067</v>
      </c>
      <c r="E657">
        <v>6470195</v>
      </c>
      <c r="H657">
        <v>14941</v>
      </c>
      <c r="I657">
        <v>48.73</v>
      </c>
      <c r="J657">
        <v>27.55</v>
      </c>
      <c r="K657">
        <v>21.18</v>
      </c>
      <c r="M657">
        <v>489</v>
      </c>
      <c r="N657">
        <v>13881</v>
      </c>
      <c r="O657">
        <v>4.4999999999999998E-2</v>
      </c>
      <c r="P657">
        <v>33.33</v>
      </c>
      <c r="R657">
        <f t="shared" si="20"/>
        <v>6.370000000000001</v>
      </c>
      <c r="S657" s="3">
        <f t="shared" si="21"/>
        <v>0.24365000000000003</v>
      </c>
    </row>
    <row r="658" spans="1:19" x14ac:dyDescent="0.3">
      <c r="A658" s="5">
        <v>44488</v>
      </c>
      <c r="B658" t="s">
        <v>61</v>
      </c>
      <c r="C658">
        <v>15048288</v>
      </c>
      <c r="D658">
        <v>8562365</v>
      </c>
      <c r="E658">
        <v>6485923</v>
      </c>
      <c r="G658">
        <v>163026</v>
      </c>
      <c r="H658">
        <v>28255</v>
      </c>
      <c r="I658">
        <v>49.26</v>
      </c>
      <c r="J658">
        <v>28.03</v>
      </c>
      <c r="K658">
        <v>21.23</v>
      </c>
      <c r="M658">
        <v>925</v>
      </c>
      <c r="N658">
        <v>25805</v>
      </c>
      <c r="O658">
        <v>8.4000000000000005E-2</v>
      </c>
      <c r="P658">
        <v>33.33</v>
      </c>
      <c r="R658">
        <f t="shared" si="20"/>
        <v>6.8000000000000007</v>
      </c>
      <c r="S658" s="3">
        <f t="shared" si="21"/>
        <v>0.24630000000000002</v>
      </c>
    </row>
    <row r="659" spans="1:19" x14ac:dyDescent="0.3">
      <c r="A659" s="5">
        <v>44489</v>
      </c>
      <c r="B659" t="s">
        <v>61</v>
      </c>
      <c r="H659">
        <v>33180</v>
      </c>
      <c r="M659">
        <v>1086</v>
      </c>
      <c r="N659">
        <v>26904</v>
      </c>
      <c r="O659">
        <v>8.7999999999999995E-2</v>
      </c>
      <c r="P659">
        <v>33.33</v>
      </c>
      <c r="R659">
        <f t="shared" si="20"/>
        <v>0</v>
      </c>
      <c r="S659" s="3">
        <f t="shared" si="21"/>
        <v>0</v>
      </c>
    </row>
    <row r="660" spans="1:19" x14ac:dyDescent="0.3">
      <c r="A660" s="5">
        <v>44490</v>
      </c>
      <c r="B660" t="s">
        <v>61</v>
      </c>
      <c r="H660">
        <v>37746</v>
      </c>
      <c r="M660">
        <v>1236</v>
      </c>
      <c r="N660">
        <v>27665</v>
      </c>
      <c r="O660">
        <v>9.0999999999999998E-2</v>
      </c>
      <c r="P660">
        <v>33.33</v>
      </c>
      <c r="R660">
        <f t="shared" si="20"/>
        <v>0</v>
      </c>
      <c r="S660" s="3">
        <f t="shared" si="21"/>
        <v>0</v>
      </c>
    </row>
    <row r="661" spans="1:19" x14ac:dyDescent="0.3">
      <c r="A661" s="5">
        <v>44491</v>
      </c>
      <c r="B661" t="s">
        <v>61</v>
      </c>
      <c r="H661">
        <v>42006</v>
      </c>
      <c r="M661">
        <v>1375</v>
      </c>
      <c r="N661">
        <v>28120</v>
      </c>
      <c r="O661">
        <v>9.1999999999999998E-2</v>
      </c>
      <c r="P661">
        <v>33.33</v>
      </c>
      <c r="R661">
        <f t="shared" si="20"/>
        <v>0</v>
      </c>
      <c r="S661" s="3">
        <f t="shared" si="21"/>
        <v>0</v>
      </c>
    </row>
    <row r="662" spans="1:19" x14ac:dyDescent="0.3">
      <c r="A662" s="5">
        <v>44492</v>
      </c>
      <c r="B662" t="s">
        <v>61</v>
      </c>
      <c r="H662">
        <v>46266</v>
      </c>
      <c r="M662">
        <v>1515</v>
      </c>
      <c r="N662">
        <v>28574</v>
      </c>
      <c r="O662">
        <v>9.4E-2</v>
      </c>
      <c r="P662">
        <v>33.33</v>
      </c>
      <c r="R662">
        <f t="shared" si="20"/>
        <v>0</v>
      </c>
      <c r="S662" s="3">
        <f t="shared" si="21"/>
        <v>0</v>
      </c>
    </row>
    <row r="663" spans="1:19" x14ac:dyDescent="0.3">
      <c r="A663" s="5">
        <v>44493</v>
      </c>
      <c r="B663" t="s">
        <v>61</v>
      </c>
      <c r="H663">
        <v>50527</v>
      </c>
      <c r="M663">
        <v>1654</v>
      </c>
      <c r="N663">
        <v>29029</v>
      </c>
      <c r="O663">
        <v>9.5000000000000001E-2</v>
      </c>
      <c r="P663">
        <v>33.33</v>
      </c>
      <c r="R663">
        <f t="shared" si="20"/>
        <v>0</v>
      </c>
      <c r="S663" s="3">
        <f t="shared" si="21"/>
        <v>0</v>
      </c>
    </row>
    <row r="664" spans="1:19" x14ac:dyDescent="0.3">
      <c r="A664" s="5">
        <v>44494</v>
      </c>
      <c r="B664" t="s">
        <v>61</v>
      </c>
      <c r="C664">
        <v>15268771</v>
      </c>
      <c r="D664">
        <v>8621449</v>
      </c>
      <c r="E664">
        <v>6647322</v>
      </c>
      <c r="H664">
        <v>54787</v>
      </c>
      <c r="I664">
        <v>49.98</v>
      </c>
      <c r="J664">
        <v>28.22</v>
      </c>
      <c r="K664">
        <v>21.76</v>
      </c>
      <c r="M664">
        <v>1793</v>
      </c>
      <c r="N664">
        <v>29483</v>
      </c>
      <c r="O664">
        <v>9.7000000000000003E-2</v>
      </c>
      <c r="P664">
        <v>33.33</v>
      </c>
      <c r="R664">
        <f t="shared" si="20"/>
        <v>6.4599999999999973</v>
      </c>
      <c r="S664" s="3">
        <f t="shared" si="21"/>
        <v>0.24990000000000001</v>
      </c>
    </row>
    <row r="665" spans="1:19" x14ac:dyDescent="0.3">
      <c r="A665" s="5">
        <v>44495</v>
      </c>
      <c r="B665" t="s">
        <v>61</v>
      </c>
      <c r="H665">
        <v>44759</v>
      </c>
      <c r="M665">
        <v>1465</v>
      </c>
      <c r="N665">
        <v>9432</v>
      </c>
      <c r="O665">
        <v>3.1E-2</v>
      </c>
      <c r="P665">
        <v>33.33</v>
      </c>
      <c r="R665">
        <f t="shared" si="20"/>
        <v>0</v>
      </c>
      <c r="S665" s="3">
        <f t="shared" si="21"/>
        <v>0</v>
      </c>
    </row>
    <row r="666" spans="1:19" x14ac:dyDescent="0.3">
      <c r="A666" s="5">
        <v>44496</v>
      </c>
      <c r="B666" t="s">
        <v>61</v>
      </c>
      <c r="H666">
        <v>52771</v>
      </c>
      <c r="M666">
        <v>1728</v>
      </c>
      <c r="N666">
        <v>9016</v>
      </c>
      <c r="O666">
        <v>0.03</v>
      </c>
      <c r="P666">
        <v>33.33</v>
      </c>
      <c r="R666">
        <f t="shared" si="20"/>
        <v>0</v>
      </c>
      <c r="S666" s="3">
        <f t="shared" si="21"/>
        <v>0</v>
      </c>
    </row>
    <row r="667" spans="1:19" x14ac:dyDescent="0.3">
      <c r="A667" s="5">
        <v>44497</v>
      </c>
      <c r="B667" t="s">
        <v>61</v>
      </c>
      <c r="H667">
        <v>60782</v>
      </c>
      <c r="M667">
        <v>1990</v>
      </c>
      <c r="N667">
        <v>8601</v>
      </c>
      <c r="O667">
        <v>2.8000000000000001E-2</v>
      </c>
      <c r="P667">
        <v>33.33</v>
      </c>
      <c r="R667">
        <f t="shared" si="20"/>
        <v>0</v>
      </c>
      <c r="S667" s="3">
        <f t="shared" si="21"/>
        <v>0</v>
      </c>
    </row>
    <row r="668" spans="1:19" x14ac:dyDescent="0.3">
      <c r="A668" s="5">
        <v>44498</v>
      </c>
      <c r="B668" t="s">
        <v>61</v>
      </c>
      <c r="H668">
        <v>68794</v>
      </c>
      <c r="M668">
        <v>2252</v>
      </c>
      <c r="N668">
        <v>8186</v>
      </c>
      <c r="O668">
        <v>2.7E-2</v>
      </c>
      <c r="P668">
        <v>33.33</v>
      </c>
      <c r="R668">
        <f t="shared" si="20"/>
        <v>0</v>
      </c>
      <c r="S668" s="3">
        <f t="shared" si="21"/>
        <v>0</v>
      </c>
    </row>
    <row r="669" spans="1:19" x14ac:dyDescent="0.3">
      <c r="A669" s="5">
        <v>44499</v>
      </c>
      <c r="B669" t="s">
        <v>61</v>
      </c>
      <c r="H669">
        <v>76806</v>
      </c>
      <c r="M669">
        <v>2514</v>
      </c>
      <c r="N669">
        <v>7770</v>
      </c>
      <c r="O669">
        <v>2.5000000000000001E-2</v>
      </c>
      <c r="P669">
        <v>33.33</v>
      </c>
      <c r="R669">
        <f t="shared" si="20"/>
        <v>0</v>
      </c>
      <c r="S669" s="3">
        <f t="shared" si="21"/>
        <v>0</v>
      </c>
    </row>
    <row r="670" spans="1:19" x14ac:dyDescent="0.3">
      <c r="A670" s="5">
        <v>44500</v>
      </c>
      <c r="B670" t="s">
        <v>61</v>
      </c>
      <c r="H670">
        <v>84818</v>
      </c>
      <c r="M670">
        <v>2777</v>
      </c>
      <c r="N670">
        <v>7355</v>
      </c>
      <c r="O670">
        <v>2.4E-2</v>
      </c>
      <c r="P670">
        <v>33.33</v>
      </c>
      <c r="R670">
        <f t="shared" si="20"/>
        <v>0</v>
      </c>
      <c r="S670" s="3">
        <f t="shared" si="21"/>
        <v>0</v>
      </c>
    </row>
    <row r="671" spans="1:19" x14ac:dyDescent="0.3">
      <c r="A671" s="5">
        <v>44501</v>
      </c>
      <c r="B671" t="s">
        <v>61</v>
      </c>
      <c r="C671">
        <v>15918578</v>
      </c>
      <c r="D671">
        <v>8670024</v>
      </c>
      <c r="E671">
        <v>7248554</v>
      </c>
      <c r="H671">
        <v>92830</v>
      </c>
      <c r="I671">
        <v>52.11</v>
      </c>
      <c r="J671">
        <v>28.38</v>
      </c>
      <c r="K671">
        <v>23.73</v>
      </c>
      <c r="M671">
        <v>3039</v>
      </c>
      <c r="N671">
        <v>6939</v>
      </c>
      <c r="O671">
        <v>2.3E-2</v>
      </c>
      <c r="P671">
        <v>33.33</v>
      </c>
      <c r="R671">
        <f t="shared" si="20"/>
        <v>4.6499999999999986</v>
      </c>
      <c r="S671" s="3">
        <f t="shared" si="21"/>
        <v>0.26055</v>
      </c>
    </row>
    <row r="672" spans="1:19" x14ac:dyDescent="0.3">
      <c r="A672" s="5">
        <v>44502</v>
      </c>
      <c r="B672" t="s">
        <v>61</v>
      </c>
      <c r="H672">
        <v>85632</v>
      </c>
      <c r="M672">
        <v>2803</v>
      </c>
      <c r="N672">
        <v>7531</v>
      </c>
      <c r="O672">
        <v>2.5000000000000001E-2</v>
      </c>
      <c r="P672">
        <v>33.33</v>
      </c>
      <c r="R672">
        <f t="shared" si="20"/>
        <v>0</v>
      </c>
      <c r="S672" s="3">
        <f t="shared" si="21"/>
        <v>0</v>
      </c>
    </row>
    <row r="673" spans="1:19" x14ac:dyDescent="0.3">
      <c r="A673" s="5">
        <v>44503</v>
      </c>
      <c r="B673" t="s">
        <v>61</v>
      </c>
      <c r="H673">
        <v>78434</v>
      </c>
      <c r="M673">
        <v>2568</v>
      </c>
      <c r="N673">
        <v>8124</v>
      </c>
      <c r="O673">
        <v>2.7E-2</v>
      </c>
      <c r="P673">
        <v>33.33</v>
      </c>
      <c r="R673">
        <f t="shared" si="20"/>
        <v>0</v>
      </c>
      <c r="S673" s="3">
        <f t="shared" si="21"/>
        <v>0</v>
      </c>
    </row>
    <row r="674" spans="1:19" x14ac:dyDescent="0.3">
      <c r="A674" s="5">
        <v>44504</v>
      </c>
      <c r="B674" t="s">
        <v>61</v>
      </c>
      <c r="H674">
        <v>71236</v>
      </c>
      <c r="M674">
        <v>2332</v>
      </c>
      <c r="N674">
        <v>8716</v>
      </c>
      <c r="O674">
        <v>2.9000000000000001E-2</v>
      </c>
      <c r="P674">
        <v>33.33</v>
      </c>
      <c r="R674">
        <f t="shared" si="20"/>
        <v>0</v>
      </c>
      <c r="S674" s="3">
        <f t="shared" si="21"/>
        <v>0</v>
      </c>
    </row>
    <row r="675" spans="1:19" x14ac:dyDescent="0.3">
      <c r="A675" s="5">
        <v>44505</v>
      </c>
      <c r="B675" t="s">
        <v>61</v>
      </c>
      <c r="H675">
        <v>64038</v>
      </c>
      <c r="M675">
        <v>2096</v>
      </c>
      <c r="N675">
        <v>9308</v>
      </c>
      <c r="O675">
        <v>0.03</v>
      </c>
      <c r="P675">
        <v>33.33</v>
      </c>
      <c r="R675">
        <f t="shared" si="20"/>
        <v>0</v>
      </c>
      <c r="S675" s="3">
        <f t="shared" si="21"/>
        <v>0</v>
      </c>
    </row>
    <row r="676" spans="1:19" x14ac:dyDescent="0.3">
      <c r="A676" s="5">
        <v>44506</v>
      </c>
      <c r="B676" t="s">
        <v>61</v>
      </c>
      <c r="H676">
        <v>56840</v>
      </c>
      <c r="M676">
        <v>1861</v>
      </c>
      <c r="N676">
        <v>9900</v>
      </c>
      <c r="O676">
        <v>3.2000000000000001E-2</v>
      </c>
      <c r="P676">
        <v>33.33</v>
      </c>
      <c r="R676">
        <f t="shared" si="20"/>
        <v>0</v>
      </c>
      <c r="S676" s="3">
        <f t="shared" si="21"/>
        <v>0</v>
      </c>
    </row>
    <row r="677" spans="1:19" x14ac:dyDescent="0.3">
      <c r="A677" s="5">
        <v>44507</v>
      </c>
      <c r="B677" t="s">
        <v>61</v>
      </c>
      <c r="C677">
        <v>16173246</v>
      </c>
      <c r="D677">
        <v>8736532</v>
      </c>
      <c r="E677">
        <v>7436714</v>
      </c>
      <c r="H677">
        <v>49643</v>
      </c>
      <c r="I677">
        <v>52.94</v>
      </c>
      <c r="J677">
        <v>28.6</v>
      </c>
      <c r="K677">
        <v>24.34</v>
      </c>
      <c r="M677">
        <v>1625</v>
      </c>
      <c r="N677">
        <v>10492</v>
      </c>
      <c r="O677">
        <v>3.4000000000000002E-2</v>
      </c>
      <c r="P677">
        <v>33.33</v>
      </c>
      <c r="R677">
        <f t="shared" si="20"/>
        <v>4.2600000000000016</v>
      </c>
      <c r="S677" s="3">
        <f t="shared" si="21"/>
        <v>0.26469999999999999</v>
      </c>
    </row>
    <row r="678" spans="1:19" x14ac:dyDescent="0.3">
      <c r="A678" s="5">
        <v>44508</v>
      </c>
      <c r="B678" t="s">
        <v>61</v>
      </c>
      <c r="H678">
        <v>42139</v>
      </c>
      <c r="M678">
        <v>1379</v>
      </c>
      <c r="N678">
        <v>12286</v>
      </c>
      <c r="O678">
        <v>0.04</v>
      </c>
      <c r="P678">
        <v>33.33</v>
      </c>
      <c r="R678">
        <f t="shared" si="20"/>
        <v>0</v>
      </c>
      <c r="S678" s="3">
        <f t="shared" si="21"/>
        <v>0</v>
      </c>
    </row>
    <row r="679" spans="1:19" x14ac:dyDescent="0.3">
      <c r="A679" s="5">
        <v>44509</v>
      </c>
      <c r="B679" t="s">
        <v>61</v>
      </c>
      <c r="H679">
        <v>41834</v>
      </c>
      <c r="M679">
        <v>1369</v>
      </c>
      <c r="N679">
        <v>13487</v>
      </c>
      <c r="O679">
        <v>4.3999999999999997E-2</v>
      </c>
      <c r="P679">
        <v>33.33</v>
      </c>
      <c r="R679">
        <f t="shared" si="20"/>
        <v>0</v>
      </c>
      <c r="S679" s="3">
        <f t="shared" si="21"/>
        <v>0</v>
      </c>
    </row>
    <row r="680" spans="1:19" x14ac:dyDescent="0.3">
      <c r="A680" s="5">
        <v>44510</v>
      </c>
      <c r="B680" t="s">
        <v>61</v>
      </c>
      <c r="H680">
        <v>41529</v>
      </c>
      <c r="M680">
        <v>1359</v>
      </c>
      <c r="N680">
        <v>14688</v>
      </c>
      <c r="O680">
        <v>4.8000000000000001E-2</v>
      </c>
      <c r="P680">
        <v>33.33</v>
      </c>
      <c r="R680">
        <f t="shared" si="20"/>
        <v>0</v>
      </c>
      <c r="S680" s="3">
        <f t="shared" si="21"/>
        <v>0</v>
      </c>
    </row>
    <row r="681" spans="1:19" x14ac:dyDescent="0.3">
      <c r="A681" s="5">
        <v>44511</v>
      </c>
      <c r="B681" t="s">
        <v>61</v>
      </c>
      <c r="H681">
        <v>41223</v>
      </c>
      <c r="M681">
        <v>1349</v>
      </c>
      <c r="N681">
        <v>15890</v>
      </c>
      <c r="O681">
        <v>5.1999999999999998E-2</v>
      </c>
      <c r="P681">
        <v>33.33</v>
      </c>
      <c r="R681">
        <f t="shared" si="20"/>
        <v>0</v>
      </c>
      <c r="S681" s="3">
        <f t="shared" si="21"/>
        <v>0</v>
      </c>
    </row>
    <row r="682" spans="1:19" x14ac:dyDescent="0.3">
      <c r="A682" s="5">
        <v>44512</v>
      </c>
      <c r="B682" t="s">
        <v>61</v>
      </c>
      <c r="H682">
        <v>40918</v>
      </c>
      <c r="M682">
        <v>1339</v>
      </c>
      <c r="N682">
        <v>17091</v>
      </c>
      <c r="O682">
        <v>5.6000000000000001E-2</v>
      </c>
      <c r="P682">
        <v>33.33</v>
      </c>
      <c r="R682">
        <f t="shared" si="20"/>
        <v>0</v>
      </c>
      <c r="S682" s="3">
        <f t="shared" si="21"/>
        <v>0</v>
      </c>
    </row>
    <row r="683" spans="1:19" x14ac:dyDescent="0.3">
      <c r="A683" s="5">
        <v>44513</v>
      </c>
      <c r="B683" t="s">
        <v>61</v>
      </c>
      <c r="H683">
        <v>40612</v>
      </c>
      <c r="M683">
        <v>1329</v>
      </c>
      <c r="N683">
        <v>18292</v>
      </c>
      <c r="O683">
        <v>0.06</v>
      </c>
      <c r="P683">
        <v>33.33</v>
      </c>
      <c r="R683">
        <f t="shared" si="20"/>
        <v>0</v>
      </c>
      <c r="S683" s="3">
        <f t="shared" si="21"/>
        <v>0</v>
      </c>
    </row>
    <row r="684" spans="1:19" x14ac:dyDescent="0.3">
      <c r="A684" s="5">
        <v>44514</v>
      </c>
      <c r="B684" t="s">
        <v>61</v>
      </c>
      <c r="H684">
        <v>40307</v>
      </c>
      <c r="M684">
        <v>1319</v>
      </c>
      <c r="N684">
        <v>19493</v>
      </c>
      <c r="O684">
        <v>6.4000000000000001E-2</v>
      </c>
      <c r="P684">
        <v>33.33</v>
      </c>
      <c r="R684">
        <f t="shared" si="20"/>
        <v>0</v>
      </c>
      <c r="S684" s="3">
        <f t="shared" si="21"/>
        <v>0</v>
      </c>
    </row>
    <row r="685" spans="1:19" x14ac:dyDescent="0.3">
      <c r="A685" s="5">
        <v>44515</v>
      </c>
      <c r="B685" t="s">
        <v>61</v>
      </c>
      <c r="H685">
        <v>40307</v>
      </c>
      <c r="M685">
        <v>1319</v>
      </c>
      <c r="N685">
        <v>19493</v>
      </c>
      <c r="O685">
        <v>6.4000000000000001E-2</v>
      </c>
      <c r="P685">
        <v>33.33</v>
      </c>
      <c r="R685">
        <f t="shared" si="20"/>
        <v>0</v>
      </c>
      <c r="S685" s="3">
        <f t="shared" si="21"/>
        <v>0</v>
      </c>
    </row>
    <row r="686" spans="1:19" x14ac:dyDescent="0.3">
      <c r="A686" s="5">
        <v>44516</v>
      </c>
      <c r="B686" t="s">
        <v>61</v>
      </c>
      <c r="C686">
        <v>16536009</v>
      </c>
      <c r="D686">
        <v>8911971</v>
      </c>
      <c r="E686">
        <v>7624038</v>
      </c>
      <c r="H686">
        <v>40307</v>
      </c>
      <c r="I686">
        <v>54.13</v>
      </c>
      <c r="J686">
        <v>29.17</v>
      </c>
      <c r="K686">
        <v>24.96</v>
      </c>
      <c r="M686">
        <v>1319</v>
      </c>
      <c r="N686">
        <v>19493</v>
      </c>
      <c r="O686">
        <v>6.4000000000000001E-2</v>
      </c>
      <c r="P686">
        <v>33.33</v>
      </c>
      <c r="R686">
        <f t="shared" si="20"/>
        <v>4.2100000000000009</v>
      </c>
      <c r="S686" s="3">
        <f t="shared" si="21"/>
        <v>0.27065</v>
      </c>
    </row>
    <row r="687" spans="1:19" x14ac:dyDescent="0.3">
      <c r="A687" s="5">
        <v>44517</v>
      </c>
      <c r="B687" t="s">
        <v>61</v>
      </c>
      <c r="H687">
        <v>50272</v>
      </c>
      <c r="M687">
        <v>1646</v>
      </c>
      <c r="N687">
        <v>23714</v>
      </c>
      <c r="O687">
        <v>7.8E-2</v>
      </c>
      <c r="P687">
        <v>33.33</v>
      </c>
      <c r="R687">
        <f t="shared" si="20"/>
        <v>0</v>
      </c>
      <c r="S687" s="3">
        <f t="shared" si="21"/>
        <v>0</v>
      </c>
    </row>
    <row r="688" spans="1:19" x14ac:dyDescent="0.3">
      <c r="A688" s="5">
        <v>44518</v>
      </c>
      <c r="B688" t="s">
        <v>61</v>
      </c>
      <c r="H688">
        <v>60237</v>
      </c>
      <c r="M688">
        <v>1972</v>
      </c>
      <c r="N688">
        <v>27934</v>
      </c>
      <c r="O688">
        <v>9.0999999999999998E-2</v>
      </c>
      <c r="P688">
        <v>33.33</v>
      </c>
      <c r="R688">
        <f t="shared" si="20"/>
        <v>0</v>
      </c>
      <c r="S688" s="3">
        <f t="shared" si="21"/>
        <v>0</v>
      </c>
    </row>
    <row r="689" spans="1:19" x14ac:dyDescent="0.3">
      <c r="A689" s="5">
        <v>44519</v>
      </c>
      <c r="B689" t="s">
        <v>61</v>
      </c>
      <c r="H689">
        <v>70202</v>
      </c>
      <c r="M689">
        <v>2298</v>
      </c>
      <c r="N689">
        <v>32154</v>
      </c>
      <c r="O689">
        <v>0.105</v>
      </c>
      <c r="P689">
        <v>33.33</v>
      </c>
      <c r="R689">
        <f t="shared" si="20"/>
        <v>0</v>
      </c>
      <c r="S689" s="3">
        <f t="shared" si="21"/>
        <v>0</v>
      </c>
    </row>
    <row r="690" spans="1:19" x14ac:dyDescent="0.3">
      <c r="A690" s="5">
        <v>44520</v>
      </c>
      <c r="B690" t="s">
        <v>61</v>
      </c>
      <c r="H690">
        <v>80167</v>
      </c>
      <c r="M690">
        <v>2624</v>
      </c>
      <c r="N690">
        <v>36375</v>
      </c>
      <c r="O690">
        <v>0.11899999999999999</v>
      </c>
      <c r="P690">
        <v>33.33</v>
      </c>
      <c r="R690">
        <f t="shared" si="20"/>
        <v>0</v>
      </c>
      <c r="S690" s="3">
        <f t="shared" si="21"/>
        <v>0</v>
      </c>
    </row>
    <row r="691" spans="1:19" x14ac:dyDescent="0.3">
      <c r="A691" s="5">
        <v>44521</v>
      </c>
      <c r="B691" t="s">
        <v>61</v>
      </c>
      <c r="H691">
        <v>90132</v>
      </c>
      <c r="M691">
        <v>2951</v>
      </c>
      <c r="N691">
        <v>40595</v>
      </c>
      <c r="O691">
        <v>0.13300000000000001</v>
      </c>
      <c r="P691">
        <v>33.33</v>
      </c>
      <c r="R691">
        <f t="shared" si="20"/>
        <v>0</v>
      </c>
      <c r="S691" s="3">
        <f t="shared" si="21"/>
        <v>0</v>
      </c>
    </row>
    <row r="692" spans="1:19" x14ac:dyDescent="0.3">
      <c r="A692" s="5">
        <v>44522</v>
      </c>
      <c r="B692" t="s">
        <v>61</v>
      </c>
      <c r="C692">
        <v>17196377</v>
      </c>
      <c r="D692">
        <v>9206187</v>
      </c>
      <c r="E692">
        <v>7990190</v>
      </c>
      <c r="H692">
        <v>100096</v>
      </c>
      <c r="I692">
        <v>56.29</v>
      </c>
      <c r="J692">
        <v>30.14</v>
      </c>
      <c r="K692">
        <v>26.16</v>
      </c>
      <c r="M692">
        <v>3277</v>
      </c>
      <c r="N692">
        <v>44816</v>
      </c>
      <c r="O692">
        <v>0.14699999999999999</v>
      </c>
      <c r="P692">
        <v>33.33</v>
      </c>
      <c r="R692">
        <f t="shared" si="20"/>
        <v>3.9800000000000004</v>
      </c>
      <c r="S692" s="3">
        <f t="shared" si="21"/>
        <v>0.28149999999999997</v>
      </c>
    </row>
    <row r="693" spans="1:19" x14ac:dyDescent="0.3">
      <c r="A693" s="5">
        <v>44523</v>
      </c>
      <c r="B693" t="s">
        <v>61</v>
      </c>
      <c r="H693">
        <v>117219</v>
      </c>
      <c r="M693">
        <v>3837</v>
      </c>
      <c r="N693">
        <v>55775</v>
      </c>
      <c r="O693">
        <v>0.183</v>
      </c>
      <c r="P693">
        <v>33.33</v>
      </c>
      <c r="R693">
        <f t="shared" si="20"/>
        <v>0</v>
      </c>
      <c r="S693" s="3">
        <f t="shared" si="21"/>
        <v>0</v>
      </c>
    </row>
    <row r="694" spans="1:19" x14ac:dyDescent="0.3">
      <c r="A694" s="5">
        <v>44524</v>
      </c>
      <c r="B694" t="s">
        <v>61</v>
      </c>
      <c r="H694">
        <v>124376</v>
      </c>
      <c r="M694">
        <v>4072</v>
      </c>
      <c r="N694">
        <v>62514</v>
      </c>
      <c r="O694">
        <v>0.20499999999999999</v>
      </c>
      <c r="P694">
        <v>33.33</v>
      </c>
      <c r="R694">
        <f t="shared" si="20"/>
        <v>0</v>
      </c>
      <c r="S694" s="3">
        <f t="shared" si="21"/>
        <v>0</v>
      </c>
    </row>
    <row r="695" spans="1:19" x14ac:dyDescent="0.3">
      <c r="A695" s="5">
        <v>44525</v>
      </c>
      <c r="B695" t="s">
        <v>61</v>
      </c>
      <c r="H695">
        <v>131533</v>
      </c>
      <c r="M695">
        <v>4306</v>
      </c>
      <c r="N695">
        <v>69253</v>
      </c>
      <c r="O695">
        <v>0.22700000000000001</v>
      </c>
      <c r="P695">
        <v>33.33</v>
      </c>
      <c r="R695">
        <f t="shared" si="20"/>
        <v>0</v>
      </c>
      <c r="S695" s="3">
        <f t="shared" si="21"/>
        <v>0</v>
      </c>
    </row>
    <row r="696" spans="1:19" x14ac:dyDescent="0.3">
      <c r="A696" s="5">
        <v>44526</v>
      </c>
      <c r="B696" t="s">
        <v>61</v>
      </c>
      <c r="H696">
        <v>138690</v>
      </c>
      <c r="M696">
        <v>4540</v>
      </c>
      <c r="N696">
        <v>75992</v>
      </c>
      <c r="O696">
        <v>0.249</v>
      </c>
      <c r="P696">
        <v>33.33</v>
      </c>
      <c r="R696">
        <f t="shared" si="20"/>
        <v>0</v>
      </c>
      <c r="S696" s="3">
        <f t="shared" si="21"/>
        <v>0</v>
      </c>
    </row>
    <row r="697" spans="1:19" x14ac:dyDescent="0.3">
      <c r="A697" s="5">
        <v>44527</v>
      </c>
      <c r="B697" t="s">
        <v>61</v>
      </c>
      <c r="H697">
        <v>145847</v>
      </c>
      <c r="M697">
        <v>4774</v>
      </c>
      <c r="N697">
        <v>82731</v>
      </c>
      <c r="O697">
        <v>0.27100000000000002</v>
      </c>
      <c r="P697">
        <v>33.33</v>
      </c>
      <c r="R697">
        <f t="shared" si="20"/>
        <v>0</v>
      </c>
      <c r="S697" s="3">
        <f t="shared" si="21"/>
        <v>0</v>
      </c>
    </row>
    <row r="698" spans="1:19" x14ac:dyDescent="0.3">
      <c r="A698" s="5">
        <v>44528</v>
      </c>
      <c r="B698" t="s">
        <v>61</v>
      </c>
      <c r="H698">
        <v>153004</v>
      </c>
      <c r="M698">
        <v>5009</v>
      </c>
      <c r="N698">
        <v>89470</v>
      </c>
      <c r="O698">
        <v>0.29299999999999998</v>
      </c>
      <c r="P698">
        <v>33.33</v>
      </c>
      <c r="R698">
        <f t="shared" si="20"/>
        <v>0</v>
      </c>
      <c r="S698" s="3">
        <f t="shared" si="21"/>
        <v>0</v>
      </c>
    </row>
    <row r="699" spans="1:19" x14ac:dyDescent="0.3">
      <c r="A699" s="5">
        <v>44529</v>
      </c>
      <c r="B699" t="s">
        <v>61</v>
      </c>
      <c r="C699">
        <v>18317508</v>
      </c>
      <c r="D699">
        <v>9879648</v>
      </c>
      <c r="E699">
        <v>8437860</v>
      </c>
      <c r="H699">
        <v>160162</v>
      </c>
      <c r="I699">
        <v>59.96</v>
      </c>
      <c r="J699">
        <v>32.340000000000003</v>
      </c>
      <c r="K699">
        <v>27.62</v>
      </c>
      <c r="M699">
        <v>5243</v>
      </c>
      <c r="N699">
        <v>96209</v>
      </c>
      <c r="O699">
        <v>0.315</v>
      </c>
      <c r="P699">
        <v>33.33</v>
      </c>
      <c r="R699">
        <f t="shared" si="20"/>
        <v>4.7200000000000024</v>
      </c>
      <c r="S699" s="3">
        <f t="shared" si="21"/>
        <v>0.29980000000000007</v>
      </c>
    </row>
    <row r="700" spans="1:19" x14ac:dyDescent="0.3">
      <c r="A700" s="5">
        <v>44530</v>
      </c>
      <c r="B700" t="s">
        <v>61</v>
      </c>
      <c r="H700">
        <v>154423</v>
      </c>
      <c r="M700">
        <v>5055</v>
      </c>
      <c r="N700">
        <v>93730</v>
      </c>
      <c r="O700">
        <v>0.307</v>
      </c>
      <c r="P700">
        <v>33.33</v>
      </c>
      <c r="R700">
        <f t="shared" si="20"/>
        <v>0</v>
      </c>
      <c r="S700" s="3">
        <f t="shared" si="21"/>
        <v>0</v>
      </c>
    </row>
    <row r="701" spans="1:19" x14ac:dyDescent="0.3">
      <c r="A701" s="5">
        <v>44531</v>
      </c>
      <c r="B701" t="s">
        <v>61</v>
      </c>
      <c r="H701">
        <v>148684</v>
      </c>
      <c r="M701">
        <v>4867</v>
      </c>
      <c r="N701">
        <v>91252</v>
      </c>
      <c r="O701">
        <v>0.29899999999999999</v>
      </c>
      <c r="P701">
        <v>33.33</v>
      </c>
      <c r="R701">
        <f t="shared" si="20"/>
        <v>0</v>
      </c>
      <c r="S701" s="3">
        <f t="shared" si="21"/>
        <v>0</v>
      </c>
    </row>
    <row r="702" spans="1:19" x14ac:dyDescent="0.3">
      <c r="A702" s="5">
        <v>44532</v>
      </c>
      <c r="B702" t="s">
        <v>61</v>
      </c>
      <c r="H702">
        <v>142946</v>
      </c>
      <c r="M702">
        <v>4679</v>
      </c>
      <c r="N702">
        <v>88773</v>
      </c>
      <c r="O702">
        <v>0.29099999999999998</v>
      </c>
      <c r="P702">
        <v>33.33</v>
      </c>
      <c r="R702">
        <f t="shared" si="20"/>
        <v>0</v>
      </c>
      <c r="S702" s="3">
        <f t="shared" si="21"/>
        <v>0</v>
      </c>
    </row>
    <row r="703" spans="1:19" x14ac:dyDescent="0.3">
      <c r="A703" s="5">
        <v>44533</v>
      </c>
      <c r="B703" t="s">
        <v>61</v>
      </c>
      <c r="H703">
        <v>137207</v>
      </c>
      <c r="M703">
        <v>4492</v>
      </c>
      <c r="N703">
        <v>86294</v>
      </c>
      <c r="O703">
        <v>0.28199999999999997</v>
      </c>
      <c r="P703">
        <v>33.33</v>
      </c>
      <c r="R703">
        <f t="shared" si="20"/>
        <v>0</v>
      </c>
      <c r="S703" s="3">
        <f t="shared" si="21"/>
        <v>0</v>
      </c>
    </row>
    <row r="704" spans="1:19" x14ac:dyDescent="0.3">
      <c r="A704" s="5">
        <v>44534</v>
      </c>
      <c r="B704" t="s">
        <v>61</v>
      </c>
      <c r="H704">
        <v>131468</v>
      </c>
      <c r="M704">
        <v>4304</v>
      </c>
      <c r="N704">
        <v>83816</v>
      </c>
      <c r="O704">
        <v>0.27400000000000002</v>
      </c>
      <c r="P704">
        <v>33.33</v>
      </c>
      <c r="R704">
        <f t="shared" si="20"/>
        <v>0</v>
      </c>
      <c r="S704" s="3">
        <f t="shared" si="21"/>
        <v>0</v>
      </c>
    </row>
    <row r="705" spans="1:19" x14ac:dyDescent="0.3">
      <c r="A705" s="5">
        <v>44535</v>
      </c>
      <c r="B705" t="s">
        <v>61</v>
      </c>
      <c r="H705">
        <v>125730</v>
      </c>
      <c r="M705">
        <v>4116</v>
      </c>
      <c r="N705">
        <v>81337</v>
      </c>
      <c r="O705">
        <v>0.26600000000000001</v>
      </c>
      <c r="P705">
        <v>33.33</v>
      </c>
      <c r="R705">
        <f t="shared" si="20"/>
        <v>0</v>
      </c>
      <c r="S705" s="3">
        <f t="shared" si="21"/>
        <v>0</v>
      </c>
    </row>
    <row r="706" spans="1:19" x14ac:dyDescent="0.3">
      <c r="A706" s="5">
        <v>44536</v>
      </c>
      <c r="B706" t="s">
        <v>61</v>
      </c>
      <c r="C706">
        <v>19157444</v>
      </c>
      <c r="D706">
        <v>10431659</v>
      </c>
      <c r="E706">
        <v>8725785</v>
      </c>
      <c r="H706">
        <v>119991</v>
      </c>
      <c r="I706">
        <v>62.71</v>
      </c>
      <c r="J706">
        <v>34.15</v>
      </c>
      <c r="K706">
        <v>28.56</v>
      </c>
      <c r="M706">
        <v>3928</v>
      </c>
      <c r="N706">
        <v>78859</v>
      </c>
      <c r="O706">
        <v>0.25800000000000001</v>
      </c>
      <c r="P706">
        <v>33.33</v>
      </c>
      <c r="R706">
        <f t="shared" si="20"/>
        <v>5.59</v>
      </c>
      <c r="S706" s="3">
        <f t="shared" si="21"/>
        <v>0.31355</v>
      </c>
    </row>
    <row r="707" spans="1:19" x14ac:dyDescent="0.3">
      <c r="A707" s="5">
        <v>44537</v>
      </c>
      <c r="B707" t="s">
        <v>61</v>
      </c>
      <c r="H707">
        <v>131738</v>
      </c>
      <c r="M707">
        <v>4313</v>
      </c>
      <c r="N707">
        <v>86160</v>
      </c>
      <c r="O707">
        <v>0.28199999999999997</v>
      </c>
      <c r="P707">
        <v>33.33</v>
      </c>
      <c r="R707">
        <f t="shared" si="20"/>
        <v>0</v>
      </c>
      <c r="S707" s="3">
        <f t="shared" si="21"/>
        <v>0</v>
      </c>
    </row>
    <row r="708" spans="1:19" x14ac:dyDescent="0.3">
      <c r="A708" s="5">
        <v>44538</v>
      </c>
      <c r="B708" t="s">
        <v>61</v>
      </c>
      <c r="H708">
        <v>143485</v>
      </c>
      <c r="M708">
        <v>4697</v>
      </c>
      <c r="N708">
        <v>93461</v>
      </c>
      <c r="O708">
        <v>0.30599999999999999</v>
      </c>
      <c r="P708">
        <v>33.33</v>
      </c>
      <c r="R708">
        <f t="shared" si="20"/>
        <v>0</v>
      </c>
      <c r="S708" s="3">
        <f t="shared" si="21"/>
        <v>0</v>
      </c>
    </row>
    <row r="709" spans="1:19" x14ac:dyDescent="0.3">
      <c r="A709" s="5">
        <v>44539</v>
      </c>
      <c r="B709" t="s">
        <v>61</v>
      </c>
      <c r="H709">
        <v>155232</v>
      </c>
      <c r="M709">
        <v>5082</v>
      </c>
      <c r="N709">
        <v>100762</v>
      </c>
      <c r="O709">
        <v>0.33</v>
      </c>
      <c r="P709">
        <v>33.33</v>
      </c>
      <c r="R709">
        <f t="shared" si="20"/>
        <v>0</v>
      </c>
      <c r="S709" s="3">
        <f t="shared" si="21"/>
        <v>0</v>
      </c>
    </row>
    <row r="710" spans="1:19" x14ac:dyDescent="0.3">
      <c r="A710" s="5">
        <v>44540</v>
      </c>
      <c r="B710" t="s">
        <v>61</v>
      </c>
      <c r="H710">
        <v>166979</v>
      </c>
      <c r="M710">
        <v>5466</v>
      </c>
      <c r="N710">
        <v>108063</v>
      </c>
      <c r="O710">
        <v>0.35399999999999998</v>
      </c>
      <c r="P710">
        <v>33.33</v>
      </c>
      <c r="R710">
        <f t="shared" ref="R710:R773" si="22">J710-K710</f>
        <v>0</v>
      </c>
      <c r="S710" s="3">
        <f t="shared" ref="S710:S773" si="23">MIN(1, (0.5*MAX(R710,0) + 1*K710)/100 )</f>
        <v>0</v>
      </c>
    </row>
    <row r="711" spans="1:19" x14ac:dyDescent="0.3">
      <c r="A711" s="5">
        <v>44541</v>
      </c>
      <c r="B711" t="s">
        <v>61</v>
      </c>
      <c r="H711">
        <v>178726</v>
      </c>
      <c r="M711">
        <v>5851</v>
      </c>
      <c r="N711">
        <v>115364</v>
      </c>
      <c r="O711">
        <v>0.378</v>
      </c>
      <c r="P711">
        <v>33.33</v>
      </c>
      <c r="R711">
        <f t="shared" si="22"/>
        <v>0</v>
      </c>
      <c r="S711" s="3">
        <f t="shared" si="23"/>
        <v>0</v>
      </c>
    </row>
    <row r="712" spans="1:19" x14ac:dyDescent="0.3">
      <c r="A712" s="5">
        <v>44542</v>
      </c>
      <c r="B712" t="s">
        <v>61</v>
      </c>
      <c r="H712">
        <v>190472</v>
      </c>
      <c r="M712">
        <v>6235</v>
      </c>
      <c r="N712">
        <v>122665</v>
      </c>
      <c r="O712">
        <v>0.40200000000000002</v>
      </c>
      <c r="P712">
        <v>33.33</v>
      </c>
      <c r="R712">
        <f t="shared" si="22"/>
        <v>0</v>
      </c>
      <c r="S712" s="3">
        <f t="shared" si="23"/>
        <v>0</v>
      </c>
    </row>
    <row r="713" spans="1:19" x14ac:dyDescent="0.3">
      <c r="A713" s="5">
        <v>44543</v>
      </c>
      <c r="B713" t="s">
        <v>61</v>
      </c>
      <c r="H713">
        <v>202219</v>
      </c>
      <c r="M713">
        <v>6620</v>
      </c>
      <c r="N713">
        <v>129966</v>
      </c>
      <c r="O713">
        <v>0.42499999999999999</v>
      </c>
      <c r="P713">
        <v>33.33</v>
      </c>
      <c r="R713">
        <f t="shared" si="22"/>
        <v>0</v>
      </c>
      <c r="S713" s="3">
        <f t="shared" si="23"/>
        <v>0</v>
      </c>
    </row>
    <row r="714" spans="1:19" x14ac:dyDescent="0.3">
      <c r="A714" s="5">
        <v>44544</v>
      </c>
      <c r="B714" t="s">
        <v>61</v>
      </c>
      <c r="H714">
        <v>202219</v>
      </c>
      <c r="M714">
        <v>6620</v>
      </c>
      <c r="N714">
        <v>129966</v>
      </c>
      <c r="O714">
        <v>0.42499999999999999</v>
      </c>
      <c r="P714">
        <v>33.33</v>
      </c>
      <c r="R714">
        <f t="shared" si="22"/>
        <v>0</v>
      </c>
      <c r="S714" s="3">
        <f t="shared" si="23"/>
        <v>0</v>
      </c>
    </row>
    <row r="715" spans="1:19" x14ac:dyDescent="0.3">
      <c r="A715" s="5">
        <v>44545</v>
      </c>
      <c r="B715" t="s">
        <v>61</v>
      </c>
      <c r="H715">
        <v>202219</v>
      </c>
      <c r="M715">
        <v>6620</v>
      </c>
      <c r="N715">
        <v>129966</v>
      </c>
      <c r="O715">
        <v>0.42499999999999999</v>
      </c>
      <c r="P715">
        <v>33.33</v>
      </c>
      <c r="R715">
        <f t="shared" si="22"/>
        <v>0</v>
      </c>
      <c r="S715" s="3">
        <f t="shared" si="23"/>
        <v>0</v>
      </c>
    </row>
    <row r="716" spans="1:19" x14ac:dyDescent="0.3">
      <c r="A716" s="5">
        <v>44546</v>
      </c>
      <c r="B716" t="s">
        <v>61</v>
      </c>
      <c r="H716">
        <v>202219</v>
      </c>
      <c r="M716">
        <v>6620</v>
      </c>
      <c r="N716">
        <v>129966</v>
      </c>
      <c r="O716">
        <v>0.42499999999999999</v>
      </c>
      <c r="P716">
        <v>33.33</v>
      </c>
      <c r="R716">
        <f t="shared" si="22"/>
        <v>0</v>
      </c>
      <c r="S716" s="3">
        <f t="shared" si="23"/>
        <v>0</v>
      </c>
    </row>
    <row r="717" spans="1:19" x14ac:dyDescent="0.3">
      <c r="A717" s="5">
        <v>44547</v>
      </c>
      <c r="B717" t="s">
        <v>61</v>
      </c>
      <c r="H717">
        <v>202219</v>
      </c>
      <c r="M717">
        <v>6620</v>
      </c>
      <c r="N717">
        <v>129966</v>
      </c>
      <c r="O717">
        <v>0.42499999999999999</v>
      </c>
      <c r="P717">
        <v>33.33</v>
      </c>
      <c r="R717">
        <f t="shared" si="22"/>
        <v>0</v>
      </c>
      <c r="S717" s="3">
        <f t="shared" si="23"/>
        <v>0</v>
      </c>
    </row>
    <row r="718" spans="1:19" x14ac:dyDescent="0.3">
      <c r="A718" s="5">
        <v>44548</v>
      </c>
      <c r="B718" t="s">
        <v>61</v>
      </c>
      <c r="H718">
        <v>202219</v>
      </c>
      <c r="M718">
        <v>6620</v>
      </c>
      <c r="N718">
        <v>129966</v>
      </c>
      <c r="O718">
        <v>0.42499999999999999</v>
      </c>
      <c r="P718">
        <v>33.33</v>
      </c>
      <c r="R718">
        <f t="shared" si="22"/>
        <v>0</v>
      </c>
      <c r="S718" s="3">
        <f t="shared" si="23"/>
        <v>0</v>
      </c>
    </row>
    <row r="719" spans="1:19" x14ac:dyDescent="0.3">
      <c r="A719" s="5">
        <v>44549</v>
      </c>
      <c r="B719" t="s">
        <v>61</v>
      </c>
      <c r="H719">
        <v>202219</v>
      </c>
      <c r="M719">
        <v>6620</v>
      </c>
      <c r="N719">
        <v>129966</v>
      </c>
      <c r="O719">
        <v>0.42499999999999999</v>
      </c>
      <c r="P719">
        <v>33.33</v>
      </c>
      <c r="R719">
        <f t="shared" si="22"/>
        <v>0</v>
      </c>
      <c r="S719" s="3">
        <f t="shared" si="23"/>
        <v>0</v>
      </c>
    </row>
    <row r="720" spans="1:19" x14ac:dyDescent="0.3">
      <c r="A720" s="5">
        <v>44550</v>
      </c>
      <c r="B720" t="s">
        <v>61</v>
      </c>
      <c r="C720">
        <v>21988516</v>
      </c>
      <c r="D720">
        <v>12251183</v>
      </c>
      <c r="E720">
        <v>9737333</v>
      </c>
      <c r="H720">
        <v>202219</v>
      </c>
      <c r="I720">
        <v>71.98</v>
      </c>
      <c r="J720">
        <v>40.11</v>
      </c>
      <c r="K720">
        <v>31.88</v>
      </c>
      <c r="M720">
        <v>6620</v>
      </c>
      <c r="N720">
        <v>129966</v>
      </c>
      <c r="O720">
        <v>0.42499999999999999</v>
      </c>
      <c r="P720">
        <v>33.33</v>
      </c>
      <c r="R720">
        <f t="shared" si="22"/>
        <v>8.23</v>
      </c>
      <c r="S720" s="3">
        <f t="shared" si="23"/>
        <v>0.35994999999999999</v>
      </c>
    </row>
    <row r="721" spans="1:19" x14ac:dyDescent="0.3">
      <c r="A721" s="5">
        <v>44551</v>
      </c>
      <c r="B721" t="s">
        <v>61</v>
      </c>
      <c r="H721">
        <v>204633</v>
      </c>
      <c r="M721">
        <v>6699</v>
      </c>
      <c r="N721">
        <v>133431</v>
      </c>
      <c r="O721">
        <v>0.437</v>
      </c>
      <c r="P721">
        <v>33.33</v>
      </c>
      <c r="R721">
        <f t="shared" si="22"/>
        <v>0</v>
      </c>
      <c r="S721" s="3">
        <f t="shared" si="23"/>
        <v>0</v>
      </c>
    </row>
    <row r="722" spans="1:19" x14ac:dyDescent="0.3">
      <c r="A722" s="5">
        <v>44552</v>
      </c>
      <c r="B722" t="s">
        <v>61</v>
      </c>
      <c r="H722">
        <v>207047</v>
      </c>
      <c r="M722">
        <v>6778</v>
      </c>
      <c r="N722">
        <v>136897</v>
      </c>
      <c r="O722">
        <v>0.44800000000000001</v>
      </c>
      <c r="P722">
        <v>33.33</v>
      </c>
      <c r="R722">
        <f t="shared" si="22"/>
        <v>0</v>
      </c>
      <c r="S722" s="3">
        <f t="shared" si="23"/>
        <v>0</v>
      </c>
    </row>
    <row r="723" spans="1:19" x14ac:dyDescent="0.3">
      <c r="A723" s="5">
        <v>44553</v>
      </c>
      <c r="B723" t="s">
        <v>61</v>
      </c>
      <c r="H723">
        <v>209461</v>
      </c>
      <c r="M723">
        <v>6857</v>
      </c>
      <c r="N723">
        <v>140362</v>
      </c>
      <c r="O723">
        <v>0.45900000000000002</v>
      </c>
      <c r="P723">
        <v>33.33</v>
      </c>
      <c r="R723">
        <f t="shared" si="22"/>
        <v>0</v>
      </c>
      <c r="S723" s="3">
        <f t="shared" si="23"/>
        <v>0</v>
      </c>
    </row>
    <row r="724" spans="1:19" x14ac:dyDescent="0.3">
      <c r="A724" s="5">
        <v>44554</v>
      </c>
      <c r="B724" t="s">
        <v>61</v>
      </c>
      <c r="H724">
        <v>211875</v>
      </c>
      <c r="M724">
        <v>6936</v>
      </c>
      <c r="N724">
        <v>143827</v>
      </c>
      <c r="O724">
        <v>0.47099999999999997</v>
      </c>
      <c r="P724">
        <v>33.33</v>
      </c>
      <c r="R724">
        <f t="shared" si="22"/>
        <v>0</v>
      </c>
      <c r="S724" s="3">
        <f t="shared" si="23"/>
        <v>0</v>
      </c>
    </row>
    <row r="725" spans="1:19" x14ac:dyDescent="0.3">
      <c r="A725" s="5">
        <v>44555</v>
      </c>
      <c r="B725" t="s">
        <v>61</v>
      </c>
      <c r="H725">
        <v>214288</v>
      </c>
      <c r="M725">
        <v>7015</v>
      </c>
      <c r="N725">
        <v>147293</v>
      </c>
      <c r="O725">
        <v>0.48199999999999998</v>
      </c>
      <c r="P725">
        <v>33.33</v>
      </c>
      <c r="R725">
        <f t="shared" si="22"/>
        <v>0</v>
      </c>
      <c r="S725" s="3">
        <f t="shared" si="23"/>
        <v>0</v>
      </c>
    </row>
    <row r="726" spans="1:19" x14ac:dyDescent="0.3">
      <c r="A726" s="5">
        <v>44556</v>
      </c>
      <c r="B726" t="s">
        <v>61</v>
      </c>
      <c r="H726">
        <v>216702</v>
      </c>
      <c r="M726">
        <v>7094</v>
      </c>
      <c r="N726">
        <v>150758</v>
      </c>
      <c r="O726">
        <v>0.49399999999999999</v>
      </c>
      <c r="P726">
        <v>33.33</v>
      </c>
      <c r="R726">
        <f t="shared" si="22"/>
        <v>0</v>
      </c>
      <c r="S726" s="3">
        <f t="shared" si="23"/>
        <v>0</v>
      </c>
    </row>
    <row r="727" spans="1:19" x14ac:dyDescent="0.3">
      <c r="A727" s="5">
        <v>44557</v>
      </c>
      <c r="B727" t="s">
        <v>61</v>
      </c>
      <c r="H727">
        <v>219116</v>
      </c>
      <c r="M727">
        <v>7173</v>
      </c>
      <c r="N727">
        <v>154223</v>
      </c>
      <c r="O727">
        <v>0.505</v>
      </c>
      <c r="P727">
        <v>33.33</v>
      </c>
      <c r="R727">
        <f t="shared" si="22"/>
        <v>0</v>
      </c>
      <c r="S727" s="3">
        <f t="shared" si="23"/>
        <v>0</v>
      </c>
    </row>
    <row r="728" spans="1:19" x14ac:dyDescent="0.3">
      <c r="A728" s="5">
        <v>44558</v>
      </c>
      <c r="B728" t="s">
        <v>61</v>
      </c>
      <c r="H728">
        <v>219116</v>
      </c>
      <c r="M728">
        <v>7173</v>
      </c>
      <c r="N728">
        <v>154223</v>
      </c>
      <c r="O728">
        <v>0.505</v>
      </c>
      <c r="P728">
        <v>33.33</v>
      </c>
      <c r="R728">
        <f t="shared" si="22"/>
        <v>0</v>
      </c>
      <c r="S728" s="3">
        <f t="shared" si="23"/>
        <v>0</v>
      </c>
    </row>
    <row r="729" spans="1:19" x14ac:dyDescent="0.3">
      <c r="A729" s="5">
        <v>44559</v>
      </c>
      <c r="B729" t="s">
        <v>61</v>
      </c>
      <c r="H729">
        <v>219116</v>
      </c>
      <c r="M729">
        <v>7173</v>
      </c>
      <c r="N729">
        <v>154223</v>
      </c>
      <c r="O729">
        <v>0.505</v>
      </c>
      <c r="P729">
        <v>33.33</v>
      </c>
      <c r="R729">
        <f t="shared" si="22"/>
        <v>0</v>
      </c>
      <c r="S729" s="3">
        <f t="shared" si="23"/>
        <v>0</v>
      </c>
    </row>
    <row r="730" spans="1:19" x14ac:dyDescent="0.3">
      <c r="A730" s="5">
        <v>44560</v>
      </c>
      <c r="B730" t="s">
        <v>61</v>
      </c>
      <c r="H730">
        <v>219116</v>
      </c>
      <c r="M730">
        <v>7173</v>
      </c>
      <c r="N730">
        <v>154223</v>
      </c>
      <c r="O730">
        <v>0.505</v>
      </c>
      <c r="P730">
        <v>33.33</v>
      </c>
      <c r="R730">
        <f t="shared" si="22"/>
        <v>0</v>
      </c>
      <c r="S730" s="3">
        <f t="shared" si="23"/>
        <v>0</v>
      </c>
    </row>
    <row r="731" spans="1:19" x14ac:dyDescent="0.3">
      <c r="A731" s="5">
        <v>44561</v>
      </c>
      <c r="B731" t="s">
        <v>61</v>
      </c>
      <c r="H731">
        <v>219116</v>
      </c>
      <c r="M731">
        <v>7173</v>
      </c>
      <c r="N731">
        <v>154223</v>
      </c>
      <c r="O731">
        <v>0.505</v>
      </c>
      <c r="P731">
        <v>33.33</v>
      </c>
      <c r="R731">
        <f t="shared" si="22"/>
        <v>0</v>
      </c>
      <c r="S731" s="3">
        <f t="shared" si="23"/>
        <v>0</v>
      </c>
    </row>
    <row r="732" spans="1:19" x14ac:dyDescent="0.3">
      <c r="A732" s="5">
        <v>44562</v>
      </c>
      <c r="B732" t="s">
        <v>61</v>
      </c>
      <c r="H732">
        <v>219116</v>
      </c>
      <c r="M732">
        <v>7173</v>
      </c>
      <c r="N732">
        <v>154223</v>
      </c>
      <c r="O732">
        <v>0.505</v>
      </c>
      <c r="P732">
        <v>33.33</v>
      </c>
      <c r="R732">
        <f t="shared" si="22"/>
        <v>0</v>
      </c>
      <c r="S732" s="3">
        <f t="shared" si="23"/>
        <v>0</v>
      </c>
    </row>
    <row r="733" spans="1:19" x14ac:dyDescent="0.3">
      <c r="A733" s="5">
        <v>44563</v>
      </c>
      <c r="B733" t="s">
        <v>61</v>
      </c>
      <c r="H733">
        <v>219116</v>
      </c>
      <c r="M733">
        <v>7173</v>
      </c>
      <c r="N733">
        <v>154223</v>
      </c>
      <c r="O733">
        <v>0.505</v>
      </c>
      <c r="P733">
        <v>33.33</v>
      </c>
      <c r="R733">
        <f t="shared" si="22"/>
        <v>0</v>
      </c>
      <c r="S733" s="3">
        <f t="shared" si="23"/>
        <v>0</v>
      </c>
    </row>
    <row r="734" spans="1:19" x14ac:dyDescent="0.3">
      <c r="A734" s="5">
        <v>44564</v>
      </c>
      <c r="B734" t="s">
        <v>61</v>
      </c>
      <c r="H734">
        <v>219116</v>
      </c>
      <c r="M734">
        <v>7173</v>
      </c>
      <c r="N734">
        <v>154223</v>
      </c>
      <c r="O734">
        <v>0.505</v>
      </c>
      <c r="P734">
        <v>33.33</v>
      </c>
      <c r="R734">
        <f t="shared" si="22"/>
        <v>0</v>
      </c>
      <c r="S734" s="3">
        <f t="shared" si="23"/>
        <v>0</v>
      </c>
    </row>
    <row r="735" spans="1:19" x14ac:dyDescent="0.3">
      <c r="A735" s="5">
        <v>44565</v>
      </c>
      <c r="B735" t="s">
        <v>61</v>
      </c>
      <c r="C735">
        <v>25275254</v>
      </c>
      <c r="D735">
        <v>14564533</v>
      </c>
      <c r="E735">
        <v>10710721</v>
      </c>
      <c r="H735">
        <v>219116</v>
      </c>
      <c r="I735">
        <v>82.74</v>
      </c>
      <c r="J735">
        <v>47.68</v>
      </c>
      <c r="K735">
        <v>35.06</v>
      </c>
      <c r="M735">
        <v>7173</v>
      </c>
      <c r="N735">
        <v>154223</v>
      </c>
      <c r="O735">
        <v>0.505</v>
      </c>
      <c r="P735">
        <v>33.33</v>
      </c>
      <c r="R735">
        <f t="shared" si="22"/>
        <v>12.619999999999997</v>
      </c>
      <c r="S735" s="3">
        <f t="shared" si="23"/>
        <v>0.41370000000000007</v>
      </c>
    </row>
    <row r="736" spans="1:19" x14ac:dyDescent="0.3">
      <c r="A736" s="5">
        <v>44566</v>
      </c>
      <c r="B736" t="s">
        <v>61</v>
      </c>
      <c r="H736">
        <v>219014</v>
      </c>
      <c r="M736">
        <v>7170</v>
      </c>
      <c r="N736">
        <v>148491</v>
      </c>
      <c r="O736">
        <v>0.48599999999999999</v>
      </c>
      <c r="P736">
        <v>33.33</v>
      </c>
      <c r="R736">
        <f t="shared" si="22"/>
        <v>0</v>
      </c>
      <c r="S736" s="3">
        <f t="shared" si="23"/>
        <v>0</v>
      </c>
    </row>
    <row r="737" spans="1:19" x14ac:dyDescent="0.3">
      <c r="A737" s="5">
        <v>44567</v>
      </c>
      <c r="B737" t="s">
        <v>61</v>
      </c>
      <c r="H737">
        <v>218912</v>
      </c>
      <c r="M737">
        <v>7166</v>
      </c>
      <c r="N737">
        <v>142759</v>
      </c>
      <c r="O737">
        <v>0.46700000000000003</v>
      </c>
      <c r="P737">
        <v>33.33</v>
      </c>
      <c r="R737">
        <f t="shared" si="22"/>
        <v>0</v>
      </c>
      <c r="S737" s="3">
        <f t="shared" si="23"/>
        <v>0</v>
      </c>
    </row>
    <row r="738" spans="1:19" x14ac:dyDescent="0.3">
      <c r="A738" s="5">
        <v>44568</v>
      </c>
      <c r="B738" t="s">
        <v>61</v>
      </c>
      <c r="H738">
        <v>218810</v>
      </c>
      <c r="M738">
        <v>7163</v>
      </c>
      <c r="N738">
        <v>137027</v>
      </c>
      <c r="O738">
        <v>0.44900000000000001</v>
      </c>
      <c r="P738">
        <v>33.33</v>
      </c>
      <c r="R738">
        <f t="shared" si="22"/>
        <v>0</v>
      </c>
      <c r="S738" s="3">
        <f t="shared" si="23"/>
        <v>0</v>
      </c>
    </row>
    <row r="739" spans="1:19" x14ac:dyDescent="0.3">
      <c r="A739" s="5">
        <v>44569</v>
      </c>
      <c r="B739" t="s">
        <v>61</v>
      </c>
      <c r="H739">
        <v>218708</v>
      </c>
      <c r="M739">
        <v>7160</v>
      </c>
      <c r="N739">
        <v>131295</v>
      </c>
      <c r="O739">
        <v>0.43</v>
      </c>
      <c r="P739">
        <v>33.33</v>
      </c>
      <c r="R739">
        <f t="shared" si="22"/>
        <v>0</v>
      </c>
      <c r="S739" s="3">
        <f t="shared" si="23"/>
        <v>0</v>
      </c>
    </row>
    <row r="740" spans="1:19" x14ac:dyDescent="0.3">
      <c r="A740" s="5">
        <v>44570</v>
      </c>
      <c r="B740" t="s">
        <v>61</v>
      </c>
      <c r="H740">
        <v>218606</v>
      </c>
      <c r="M740">
        <v>7156</v>
      </c>
      <c r="N740">
        <v>125563</v>
      </c>
      <c r="O740">
        <v>0.41099999999999998</v>
      </c>
      <c r="P740">
        <v>33.33</v>
      </c>
      <c r="R740">
        <f t="shared" si="22"/>
        <v>0</v>
      </c>
      <c r="S740" s="3">
        <f t="shared" si="23"/>
        <v>0</v>
      </c>
    </row>
    <row r="741" spans="1:19" x14ac:dyDescent="0.3">
      <c r="A741" s="5">
        <v>44571</v>
      </c>
      <c r="B741" t="s">
        <v>61</v>
      </c>
      <c r="C741">
        <v>26585667</v>
      </c>
      <c r="D741">
        <v>15249129</v>
      </c>
      <c r="E741">
        <v>11336538</v>
      </c>
      <c r="H741">
        <v>218504</v>
      </c>
      <c r="I741">
        <v>87.03</v>
      </c>
      <c r="J741">
        <v>49.92</v>
      </c>
      <c r="K741">
        <v>37.11</v>
      </c>
      <c r="M741">
        <v>7153</v>
      </c>
      <c r="N741">
        <v>119831</v>
      </c>
      <c r="O741">
        <v>0.39200000000000002</v>
      </c>
      <c r="P741">
        <v>33.33</v>
      </c>
      <c r="R741">
        <f t="shared" si="22"/>
        <v>12.810000000000002</v>
      </c>
      <c r="S741" s="3">
        <f t="shared" si="23"/>
        <v>0.43514999999999998</v>
      </c>
    </row>
    <row r="742" spans="1:19" x14ac:dyDescent="0.3">
      <c r="A742" s="5">
        <v>44572</v>
      </c>
      <c r="B742" t="s">
        <v>61</v>
      </c>
      <c r="H742">
        <v>220055</v>
      </c>
      <c r="M742">
        <v>7204</v>
      </c>
      <c r="N742">
        <v>111812</v>
      </c>
      <c r="O742">
        <v>0.36599999999999999</v>
      </c>
      <c r="P742">
        <v>51.85</v>
      </c>
      <c r="R742">
        <f t="shared" si="22"/>
        <v>0</v>
      </c>
      <c r="S742" s="3">
        <f t="shared" si="23"/>
        <v>0</v>
      </c>
    </row>
    <row r="743" spans="1:19" x14ac:dyDescent="0.3">
      <c r="A743" s="5">
        <v>44573</v>
      </c>
      <c r="B743" t="s">
        <v>61</v>
      </c>
      <c r="H743">
        <v>221708</v>
      </c>
      <c r="M743">
        <v>7258</v>
      </c>
      <c r="N743">
        <v>109525</v>
      </c>
      <c r="O743">
        <v>0.35899999999999999</v>
      </c>
      <c r="P743">
        <v>51.85</v>
      </c>
      <c r="R743">
        <f t="shared" si="22"/>
        <v>0</v>
      </c>
      <c r="S743" s="3">
        <f t="shared" si="23"/>
        <v>0</v>
      </c>
    </row>
    <row r="744" spans="1:19" x14ac:dyDescent="0.3">
      <c r="A744" s="5">
        <v>44574</v>
      </c>
      <c r="B744" t="s">
        <v>61</v>
      </c>
      <c r="H744">
        <v>223361</v>
      </c>
      <c r="M744">
        <v>7312</v>
      </c>
      <c r="N744">
        <v>107238</v>
      </c>
      <c r="O744">
        <v>0.35099999999999998</v>
      </c>
      <c r="P744">
        <v>51.85</v>
      </c>
      <c r="R744">
        <f t="shared" si="22"/>
        <v>0</v>
      </c>
      <c r="S744" s="3">
        <f t="shared" si="23"/>
        <v>0</v>
      </c>
    </row>
    <row r="745" spans="1:19" x14ac:dyDescent="0.3">
      <c r="A745" s="5">
        <v>44575</v>
      </c>
      <c r="B745" t="s">
        <v>61</v>
      </c>
      <c r="H745">
        <v>225014</v>
      </c>
      <c r="M745">
        <v>7366</v>
      </c>
      <c r="N745">
        <v>104951</v>
      </c>
      <c r="O745">
        <v>0.34399999999999997</v>
      </c>
      <c r="P745">
        <v>51.85</v>
      </c>
      <c r="R745">
        <f t="shared" si="22"/>
        <v>0</v>
      </c>
      <c r="S745" s="3">
        <f t="shared" si="23"/>
        <v>0</v>
      </c>
    </row>
    <row r="746" spans="1:19" x14ac:dyDescent="0.3">
      <c r="A746" s="5">
        <v>44576</v>
      </c>
      <c r="B746" t="s">
        <v>61</v>
      </c>
      <c r="H746">
        <v>226666</v>
      </c>
      <c r="M746">
        <v>7420</v>
      </c>
      <c r="N746">
        <v>102664</v>
      </c>
      <c r="O746">
        <v>0.33600000000000002</v>
      </c>
      <c r="P746">
        <v>51.85</v>
      </c>
      <c r="R746">
        <f t="shared" si="22"/>
        <v>0</v>
      </c>
      <c r="S746" s="3">
        <f t="shared" si="23"/>
        <v>0</v>
      </c>
    </row>
    <row r="747" spans="1:19" x14ac:dyDescent="0.3">
      <c r="A747" s="5">
        <v>44577</v>
      </c>
      <c r="B747" t="s">
        <v>61</v>
      </c>
      <c r="C747">
        <v>27965500</v>
      </c>
      <c r="D747">
        <v>15837671</v>
      </c>
      <c r="E747">
        <v>12127829</v>
      </c>
      <c r="H747">
        <v>228319</v>
      </c>
      <c r="I747">
        <v>91.55</v>
      </c>
      <c r="J747">
        <v>51.85</v>
      </c>
      <c r="K747">
        <v>39.700000000000003</v>
      </c>
      <c r="M747">
        <v>7474</v>
      </c>
      <c r="N747">
        <v>100377</v>
      </c>
      <c r="O747">
        <v>0.32900000000000001</v>
      </c>
      <c r="P747">
        <v>51.85</v>
      </c>
      <c r="R747">
        <f t="shared" si="22"/>
        <v>12.149999999999999</v>
      </c>
      <c r="S747" s="3">
        <f t="shared" si="23"/>
        <v>0.45775000000000005</v>
      </c>
    </row>
    <row r="748" spans="1:19" x14ac:dyDescent="0.3">
      <c r="A748" s="5">
        <v>44578</v>
      </c>
      <c r="B748" t="s">
        <v>61</v>
      </c>
      <c r="H748">
        <v>227460</v>
      </c>
      <c r="M748">
        <v>7446</v>
      </c>
      <c r="N748">
        <v>92939</v>
      </c>
      <c r="O748">
        <v>0.30399999999999999</v>
      </c>
      <c r="P748">
        <v>51.85</v>
      </c>
      <c r="R748">
        <f t="shared" si="22"/>
        <v>0</v>
      </c>
      <c r="S748" s="3">
        <f t="shared" si="23"/>
        <v>0</v>
      </c>
    </row>
    <row r="749" spans="1:19" x14ac:dyDescent="0.3">
      <c r="A749" s="5">
        <v>44579</v>
      </c>
      <c r="B749" t="s">
        <v>61</v>
      </c>
      <c r="H749">
        <v>224948</v>
      </c>
      <c r="M749">
        <v>7364</v>
      </c>
      <c r="N749">
        <v>87788</v>
      </c>
      <c r="O749">
        <v>0.28699999999999998</v>
      </c>
      <c r="P749">
        <v>51.85</v>
      </c>
      <c r="R749">
        <f t="shared" si="22"/>
        <v>0</v>
      </c>
      <c r="S749" s="3">
        <f t="shared" si="23"/>
        <v>0</v>
      </c>
    </row>
    <row r="750" spans="1:19" x14ac:dyDescent="0.3">
      <c r="A750" s="5">
        <v>44580</v>
      </c>
      <c r="B750" t="s">
        <v>61</v>
      </c>
      <c r="H750">
        <v>222436</v>
      </c>
      <c r="M750">
        <v>7282</v>
      </c>
      <c r="N750">
        <v>82637</v>
      </c>
      <c r="O750">
        <v>0.27100000000000002</v>
      </c>
      <c r="P750">
        <v>51.85</v>
      </c>
      <c r="R750">
        <f t="shared" si="22"/>
        <v>0</v>
      </c>
      <c r="S750" s="3">
        <f t="shared" si="23"/>
        <v>0</v>
      </c>
    </row>
    <row r="751" spans="1:19" x14ac:dyDescent="0.3">
      <c r="A751" s="5">
        <v>44581</v>
      </c>
      <c r="B751" t="s">
        <v>61</v>
      </c>
      <c r="H751">
        <v>219924</v>
      </c>
      <c r="M751">
        <v>7199</v>
      </c>
      <c r="N751">
        <v>77486</v>
      </c>
      <c r="O751">
        <v>0.254</v>
      </c>
      <c r="P751">
        <v>51.85</v>
      </c>
      <c r="R751">
        <f t="shared" si="22"/>
        <v>0</v>
      </c>
      <c r="S751" s="3">
        <f t="shared" si="23"/>
        <v>0</v>
      </c>
    </row>
    <row r="752" spans="1:19" x14ac:dyDescent="0.3">
      <c r="A752" s="5">
        <v>44582</v>
      </c>
      <c r="B752" t="s">
        <v>61</v>
      </c>
      <c r="H752">
        <v>217412</v>
      </c>
      <c r="M752">
        <v>7117</v>
      </c>
      <c r="N752">
        <v>72335</v>
      </c>
      <c r="O752">
        <v>0.23699999999999999</v>
      </c>
      <c r="P752">
        <v>51.88</v>
      </c>
      <c r="R752">
        <f t="shared" si="22"/>
        <v>0</v>
      </c>
      <c r="S752" s="3">
        <f t="shared" si="23"/>
        <v>0</v>
      </c>
    </row>
    <row r="753" spans="1:19" x14ac:dyDescent="0.3">
      <c r="A753" s="5">
        <v>44583</v>
      </c>
      <c r="B753" t="s">
        <v>61</v>
      </c>
      <c r="H753">
        <v>214900</v>
      </c>
      <c r="M753">
        <v>7035</v>
      </c>
      <c r="N753">
        <v>67184</v>
      </c>
      <c r="O753">
        <v>0.22</v>
      </c>
      <c r="P753">
        <v>51.88</v>
      </c>
      <c r="R753">
        <f t="shared" si="22"/>
        <v>0</v>
      </c>
      <c r="S753" s="3">
        <f t="shared" si="23"/>
        <v>0</v>
      </c>
    </row>
    <row r="754" spans="1:19" x14ac:dyDescent="0.3">
      <c r="A754" s="5">
        <v>44584</v>
      </c>
      <c r="B754" t="s">
        <v>61</v>
      </c>
      <c r="H754">
        <v>212388</v>
      </c>
      <c r="M754">
        <v>6953</v>
      </c>
      <c r="N754">
        <v>62033</v>
      </c>
      <c r="O754">
        <v>0.20300000000000001</v>
      </c>
      <c r="P754">
        <v>51.88</v>
      </c>
      <c r="R754">
        <f t="shared" si="22"/>
        <v>0</v>
      </c>
      <c r="S754" s="3">
        <f t="shared" si="23"/>
        <v>0</v>
      </c>
    </row>
    <row r="755" spans="1:19" x14ac:dyDescent="0.3">
      <c r="A755" s="5">
        <v>44585</v>
      </c>
      <c r="B755" t="s">
        <v>61</v>
      </c>
      <c r="C755">
        <v>29664607</v>
      </c>
      <c r="D755">
        <v>16333937</v>
      </c>
      <c r="E755">
        <v>13106726</v>
      </c>
      <c r="H755">
        <v>212388</v>
      </c>
      <c r="I755">
        <v>97.11</v>
      </c>
      <c r="J755">
        <v>53.47</v>
      </c>
      <c r="K755">
        <v>42.91</v>
      </c>
      <c r="M755">
        <v>6953</v>
      </c>
      <c r="N755">
        <v>62033</v>
      </c>
      <c r="O755">
        <v>0.20300000000000001</v>
      </c>
      <c r="P755">
        <v>51.59</v>
      </c>
      <c r="R755">
        <f t="shared" si="22"/>
        <v>10.560000000000002</v>
      </c>
      <c r="S755" s="3">
        <f t="shared" si="23"/>
        <v>0.4819</v>
      </c>
    </row>
    <row r="756" spans="1:19" x14ac:dyDescent="0.3">
      <c r="A756" s="5">
        <v>44586</v>
      </c>
      <c r="B756" t="s">
        <v>61</v>
      </c>
      <c r="H756">
        <v>222412</v>
      </c>
      <c r="M756">
        <v>7281</v>
      </c>
      <c r="N756">
        <v>63303</v>
      </c>
      <c r="O756">
        <v>0.20699999999999999</v>
      </c>
      <c r="P756">
        <v>51.59</v>
      </c>
      <c r="R756">
        <f t="shared" si="22"/>
        <v>0</v>
      </c>
      <c r="S756" s="3">
        <f t="shared" si="23"/>
        <v>0</v>
      </c>
    </row>
    <row r="757" spans="1:19" x14ac:dyDescent="0.3">
      <c r="A757" s="5">
        <v>44587</v>
      </c>
      <c r="B757" t="s">
        <v>61</v>
      </c>
      <c r="H757">
        <v>232436</v>
      </c>
      <c r="M757">
        <v>7609</v>
      </c>
      <c r="N757">
        <v>64573</v>
      </c>
      <c r="O757">
        <v>0.21099999999999999</v>
      </c>
      <c r="P757">
        <v>51.59</v>
      </c>
      <c r="R757">
        <f t="shared" si="22"/>
        <v>0</v>
      </c>
      <c r="S757" s="3">
        <f t="shared" si="23"/>
        <v>0</v>
      </c>
    </row>
    <row r="758" spans="1:19" x14ac:dyDescent="0.3">
      <c r="A758" s="5">
        <v>44588</v>
      </c>
      <c r="B758" t="s">
        <v>61</v>
      </c>
      <c r="H758">
        <v>242460</v>
      </c>
      <c r="M758">
        <v>7937</v>
      </c>
      <c r="N758">
        <v>65843</v>
      </c>
      <c r="O758">
        <v>0.216</v>
      </c>
      <c r="P758">
        <v>51.59</v>
      </c>
      <c r="R758">
        <f t="shared" si="22"/>
        <v>0</v>
      </c>
      <c r="S758" s="3">
        <f t="shared" si="23"/>
        <v>0</v>
      </c>
    </row>
    <row r="759" spans="1:19" x14ac:dyDescent="0.3">
      <c r="A759" s="5">
        <v>44589</v>
      </c>
      <c r="B759" t="s">
        <v>61</v>
      </c>
      <c r="H759">
        <v>252484</v>
      </c>
      <c r="M759">
        <v>8265</v>
      </c>
      <c r="N759">
        <v>67113</v>
      </c>
      <c r="O759">
        <v>0.22</v>
      </c>
      <c r="P759">
        <v>51.59</v>
      </c>
      <c r="R759">
        <f t="shared" si="22"/>
        <v>0</v>
      </c>
      <c r="S759" s="3">
        <f t="shared" si="23"/>
        <v>0</v>
      </c>
    </row>
    <row r="760" spans="1:19" x14ac:dyDescent="0.3">
      <c r="A760" s="5">
        <v>44590</v>
      </c>
      <c r="B760" t="s">
        <v>61</v>
      </c>
      <c r="H760">
        <v>262509</v>
      </c>
      <c r="M760">
        <v>8593</v>
      </c>
      <c r="N760">
        <v>68383</v>
      </c>
      <c r="O760">
        <v>0.224</v>
      </c>
      <c r="P760">
        <v>51.59</v>
      </c>
      <c r="R760">
        <f t="shared" si="22"/>
        <v>0</v>
      </c>
      <c r="S760" s="3">
        <f t="shared" si="23"/>
        <v>0</v>
      </c>
    </row>
    <row r="761" spans="1:19" x14ac:dyDescent="0.3">
      <c r="A761" s="5">
        <v>44591</v>
      </c>
      <c r="B761" t="s">
        <v>61</v>
      </c>
      <c r="H761">
        <v>272533</v>
      </c>
      <c r="M761">
        <v>8922</v>
      </c>
      <c r="N761">
        <v>69653</v>
      </c>
      <c r="O761">
        <v>0.22800000000000001</v>
      </c>
      <c r="P761">
        <v>51.59</v>
      </c>
      <c r="R761">
        <f t="shared" si="22"/>
        <v>0</v>
      </c>
      <c r="S761" s="3">
        <f t="shared" si="23"/>
        <v>0</v>
      </c>
    </row>
    <row r="762" spans="1:19" x14ac:dyDescent="0.3">
      <c r="A762" s="5">
        <v>44592</v>
      </c>
      <c r="B762" t="s">
        <v>61</v>
      </c>
      <c r="C762">
        <v>31642503</v>
      </c>
      <c r="D762">
        <v>16830395</v>
      </c>
      <c r="E762">
        <v>14407775</v>
      </c>
      <c r="H762">
        <v>282557</v>
      </c>
      <c r="I762">
        <v>103.58</v>
      </c>
      <c r="J762">
        <v>55.1</v>
      </c>
      <c r="K762">
        <v>47.17</v>
      </c>
      <c r="M762">
        <v>9250</v>
      </c>
      <c r="N762">
        <v>70923</v>
      </c>
      <c r="O762">
        <v>0.23200000000000001</v>
      </c>
      <c r="P762">
        <v>51.19</v>
      </c>
      <c r="R762">
        <f t="shared" si="22"/>
        <v>7.93</v>
      </c>
      <c r="S762" s="3">
        <f t="shared" si="23"/>
        <v>0.51135000000000008</v>
      </c>
    </row>
    <row r="763" spans="1:19" x14ac:dyDescent="0.3">
      <c r="A763" s="5">
        <v>44593</v>
      </c>
      <c r="B763" t="s">
        <v>61</v>
      </c>
      <c r="H763">
        <v>297614</v>
      </c>
      <c r="M763">
        <v>9743</v>
      </c>
      <c r="N763">
        <v>82863</v>
      </c>
      <c r="O763">
        <v>0.27100000000000002</v>
      </c>
      <c r="P763">
        <v>51.19</v>
      </c>
      <c r="R763">
        <f t="shared" si="22"/>
        <v>0</v>
      </c>
      <c r="S763" s="3">
        <f t="shared" si="23"/>
        <v>0</v>
      </c>
    </row>
    <row r="764" spans="1:19" x14ac:dyDescent="0.3">
      <c r="A764" s="5">
        <v>44594</v>
      </c>
      <c r="B764" t="s">
        <v>61</v>
      </c>
      <c r="H764">
        <v>312672</v>
      </c>
      <c r="M764">
        <v>10236</v>
      </c>
      <c r="N764">
        <v>94804</v>
      </c>
      <c r="O764">
        <v>0.31</v>
      </c>
      <c r="P764">
        <v>51.19</v>
      </c>
      <c r="R764">
        <f t="shared" si="22"/>
        <v>0</v>
      </c>
      <c r="S764" s="3">
        <f t="shared" si="23"/>
        <v>0</v>
      </c>
    </row>
    <row r="765" spans="1:19" x14ac:dyDescent="0.3">
      <c r="A765" s="5">
        <v>44595</v>
      </c>
      <c r="B765" t="s">
        <v>61</v>
      </c>
      <c r="H765">
        <v>327729</v>
      </c>
      <c r="M765">
        <v>10728</v>
      </c>
      <c r="N765">
        <v>106744</v>
      </c>
      <c r="O765">
        <v>0.34899999999999998</v>
      </c>
      <c r="P765">
        <v>51.19</v>
      </c>
      <c r="R765">
        <f t="shared" si="22"/>
        <v>0</v>
      </c>
      <c r="S765" s="3">
        <f t="shared" si="23"/>
        <v>0</v>
      </c>
    </row>
    <row r="766" spans="1:19" x14ac:dyDescent="0.3">
      <c r="A766" s="5">
        <v>44596</v>
      </c>
      <c r="B766" t="s">
        <v>61</v>
      </c>
      <c r="H766">
        <v>342787</v>
      </c>
      <c r="M766">
        <v>11221</v>
      </c>
      <c r="N766">
        <v>118685</v>
      </c>
      <c r="O766">
        <v>0.38900000000000001</v>
      </c>
      <c r="P766">
        <v>51.19</v>
      </c>
      <c r="R766">
        <f t="shared" si="22"/>
        <v>0</v>
      </c>
      <c r="S766" s="3">
        <f t="shared" si="23"/>
        <v>0</v>
      </c>
    </row>
    <row r="767" spans="1:19" x14ac:dyDescent="0.3">
      <c r="A767" s="5">
        <v>44597</v>
      </c>
      <c r="B767" t="s">
        <v>61</v>
      </c>
      <c r="H767">
        <v>357844</v>
      </c>
      <c r="M767">
        <v>11714</v>
      </c>
      <c r="N767">
        <v>130625</v>
      </c>
      <c r="O767">
        <v>0.42799999999999999</v>
      </c>
      <c r="P767">
        <v>51.19</v>
      </c>
      <c r="R767">
        <f t="shared" si="22"/>
        <v>0</v>
      </c>
      <c r="S767" s="3">
        <f t="shared" si="23"/>
        <v>0</v>
      </c>
    </row>
    <row r="768" spans="1:19" x14ac:dyDescent="0.3">
      <c r="A768" s="5">
        <v>44598</v>
      </c>
      <c r="B768" t="s">
        <v>61</v>
      </c>
      <c r="H768">
        <v>372902</v>
      </c>
      <c r="M768">
        <v>12207</v>
      </c>
      <c r="N768">
        <v>142566</v>
      </c>
      <c r="O768">
        <v>0.46700000000000003</v>
      </c>
      <c r="P768">
        <v>51.19</v>
      </c>
      <c r="R768">
        <f t="shared" si="22"/>
        <v>0</v>
      </c>
      <c r="S768" s="3">
        <f t="shared" si="23"/>
        <v>0</v>
      </c>
    </row>
    <row r="769" spans="1:19" x14ac:dyDescent="0.3">
      <c r="A769" s="5">
        <v>44599</v>
      </c>
      <c r="B769" t="s">
        <v>61</v>
      </c>
      <c r="C769">
        <v>34358217</v>
      </c>
      <c r="D769">
        <v>17911939</v>
      </c>
      <c r="E769">
        <v>15801734</v>
      </c>
      <c r="H769">
        <v>387959</v>
      </c>
      <c r="I769">
        <v>112.47</v>
      </c>
      <c r="J769">
        <v>58.64</v>
      </c>
      <c r="K769">
        <v>51.73</v>
      </c>
      <c r="M769">
        <v>12700</v>
      </c>
      <c r="N769">
        <v>154506</v>
      </c>
      <c r="O769">
        <v>0.50600000000000001</v>
      </c>
      <c r="P769">
        <v>50.77</v>
      </c>
      <c r="R769">
        <f t="shared" si="22"/>
        <v>6.9100000000000037</v>
      </c>
      <c r="S769" s="3">
        <f t="shared" si="23"/>
        <v>0.55185000000000006</v>
      </c>
    </row>
    <row r="770" spans="1:19" x14ac:dyDescent="0.3">
      <c r="A770" s="5">
        <v>44600</v>
      </c>
      <c r="B770" t="s">
        <v>61</v>
      </c>
      <c r="H770">
        <v>360824</v>
      </c>
      <c r="M770">
        <v>11812</v>
      </c>
      <c r="N770">
        <v>140749</v>
      </c>
      <c r="O770">
        <v>0.46100000000000002</v>
      </c>
      <c r="P770">
        <v>45.21</v>
      </c>
      <c r="R770">
        <f t="shared" si="22"/>
        <v>0</v>
      </c>
      <c r="S770" s="3">
        <f t="shared" si="23"/>
        <v>0</v>
      </c>
    </row>
    <row r="771" spans="1:19" x14ac:dyDescent="0.3">
      <c r="A771" s="5">
        <v>44601</v>
      </c>
      <c r="B771" t="s">
        <v>61</v>
      </c>
      <c r="H771">
        <v>333688</v>
      </c>
      <c r="M771">
        <v>10924</v>
      </c>
      <c r="N771">
        <v>126991</v>
      </c>
      <c r="O771">
        <v>0.41599999999999998</v>
      </c>
      <c r="P771">
        <v>45.21</v>
      </c>
      <c r="R771">
        <f t="shared" si="22"/>
        <v>0</v>
      </c>
      <c r="S771" s="3">
        <f t="shared" si="23"/>
        <v>0</v>
      </c>
    </row>
    <row r="772" spans="1:19" x14ac:dyDescent="0.3">
      <c r="A772" s="5">
        <v>44602</v>
      </c>
      <c r="B772" t="s">
        <v>61</v>
      </c>
      <c r="H772">
        <v>306553</v>
      </c>
      <c r="M772">
        <v>10035</v>
      </c>
      <c r="N772">
        <v>113234</v>
      </c>
      <c r="O772">
        <v>0.371</v>
      </c>
      <c r="P772">
        <v>43.77</v>
      </c>
      <c r="R772">
        <f t="shared" si="22"/>
        <v>0</v>
      </c>
      <c r="S772" s="3">
        <f t="shared" si="23"/>
        <v>0</v>
      </c>
    </row>
    <row r="773" spans="1:19" x14ac:dyDescent="0.3">
      <c r="A773" s="5">
        <v>44603</v>
      </c>
      <c r="B773" t="s">
        <v>61</v>
      </c>
      <c r="H773">
        <v>279417</v>
      </c>
      <c r="M773">
        <v>9147</v>
      </c>
      <c r="N773">
        <v>99477</v>
      </c>
      <c r="O773">
        <v>0.32600000000000001</v>
      </c>
      <c r="P773">
        <v>43.77</v>
      </c>
      <c r="R773">
        <f t="shared" si="22"/>
        <v>0</v>
      </c>
      <c r="S773" s="3">
        <f t="shared" si="23"/>
        <v>0</v>
      </c>
    </row>
    <row r="774" spans="1:19" x14ac:dyDescent="0.3">
      <c r="A774" s="5">
        <v>44604</v>
      </c>
      <c r="B774" t="s">
        <v>61</v>
      </c>
      <c r="H774">
        <v>252282</v>
      </c>
      <c r="M774">
        <v>8259</v>
      </c>
      <c r="N774">
        <v>85719</v>
      </c>
      <c r="O774">
        <v>0.28100000000000003</v>
      </c>
      <c r="P774">
        <v>43.77</v>
      </c>
      <c r="R774">
        <f t="shared" ref="R774:R837" si="24">J774-K774</f>
        <v>0</v>
      </c>
      <c r="S774" s="3">
        <f t="shared" ref="S774:S837" si="25">MIN(1, (0.5*MAX(R774,0) + 1*K774)/100 )</f>
        <v>0</v>
      </c>
    </row>
    <row r="775" spans="1:19" x14ac:dyDescent="0.3">
      <c r="A775" s="5">
        <v>44605</v>
      </c>
      <c r="B775" t="s">
        <v>61</v>
      </c>
      <c r="C775">
        <v>35546280</v>
      </c>
      <c r="D775">
        <v>18261165</v>
      </c>
      <c r="E775">
        <v>16525155</v>
      </c>
      <c r="H775">
        <v>225146</v>
      </c>
      <c r="I775">
        <v>116.36</v>
      </c>
      <c r="J775">
        <v>59.78</v>
      </c>
      <c r="K775">
        <v>54.1</v>
      </c>
      <c r="M775">
        <v>7370</v>
      </c>
      <c r="N775">
        <v>71962</v>
      </c>
      <c r="O775">
        <v>0.23599999999999999</v>
      </c>
      <c r="P775">
        <v>32.380000000000003</v>
      </c>
      <c r="R775">
        <f t="shared" si="24"/>
        <v>5.68</v>
      </c>
      <c r="S775" s="3">
        <f t="shared" si="25"/>
        <v>0.56940000000000002</v>
      </c>
    </row>
    <row r="776" spans="1:19" x14ac:dyDescent="0.3">
      <c r="A776" s="5">
        <v>44606</v>
      </c>
      <c r="B776" t="s">
        <v>61</v>
      </c>
      <c r="H776">
        <v>184437</v>
      </c>
      <c r="M776">
        <v>6038</v>
      </c>
      <c r="N776">
        <v>123057</v>
      </c>
      <c r="O776">
        <v>0.40300000000000002</v>
      </c>
      <c r="P776">
        <v>32.380000000000003</v>
      </c>
      <c r="R776">
        <f t="shared" si="24"/>
        <v>0</v>
      </c>
      <c r="S776" s="3">
        <f t="shared" si="25"/>
        <v>0</v>
      </c>
    </row>
    <row r="777" spans="1:19" x14ac:dyDescent="0.3">
      <c r="A777" s="5">
        <v>44607</v>
      </c>
      <c r="B777" t="s">
        <v>61</v>
      </c>
      <c r="H777">
        <v>170863</v>
      </c>
      <c r="M777">
        <v>5593</v>
      </c>
      <c r="N777">
        <v>187910</v>
      </c>
      <c r="O777">
        <v>0.61499999999999999</v>
      </c>
      <c r="P777">
        <v>36.78</v>
      </c>
      <c r="R777">
        <f t="shared" si="24"/>
        <v>0</v>
      </c>
      <c r="S777" s="3">
        <f t="shared" si="25"/>
        <v>0</v>
      </c>
    </row>
    <row r="778" spans="1:19" x14ac:dyDescent="0.3">
      <c r="A778" s="5">
        <v>44608</v>
      </c>
      <c r="B778" t="s">
        <v>61</v>
      </c>
      <c r="H778">
        <v>157289</v>
      </c>
      <c r="M778">
        <v>5149</v>
      </c>
      <c r="N778">
        <v>252763</v>
      </c>
      <c r="O778">
        <v>0.82699999999999996</v>
      </c>
      <c r="P778">
        <v>36.78</v>
      </c>
      <c r="R778">
        <f t="shared" si="24"/>
        <v>0</v>
      </c>
      <c r="S778" s="3">
        <f t="shared" si="25"/>
        <v>0</v>
      </c>
    </row>
    <row r="779" spans="1:19" x14ac:dyDescent="0.3">
      <c r="A779" s="5">
        <v>44609</v>
      </c>
      <c r="B779" t="s">
        <v>61</v>
      </c>
      <c r="H779">
        <v>143716</v>
      </c>
      <c r="M779">
        <v>4705</v>
      </c>
      <c r="N779">
        <v>317616</v>
      </c>
      <c r="O779">
        <v>1.04</v>
      </c>
      <c r="P779">
        <v>36.78</v>
      </c>
      <c r="R779">
        <f t="shared" si="24"/>
        <v>0</v>
      </c>
      <c r="S779" s="3">
        <f t="shared" si="25"/>
        <v>0</v>
      </c>
    </row>
    <row r="780" spans="1:19" x14ac:dyDescent="0.3">
      <c r="A780" s="5">
        <v>44610</v>
      </c>
      <c r="B780" t="s">
        <v>61</v>
      </c>
      <c r="H780">
        <v>130142</v>
      </c>
      <c r="M780">
        <v>4260</v>
      </c>
      <c r="N780">
        <v>382469</v>
      </c>
      <c r="O780">
        <v>1.252</v>
      </c>
      <c r="P780">
        <v>36.78</v>
      </c>
      <c r="R780">
        <f t="shared" si="24"/>
        <v>0</v>
      </c>
      <c r="S780" s="3">
        <f t="shared" si="25"/>
        <v>0</v>
      </c>
    </row>
    <row r="781" spans="1:19" x14ac:dyDescent="0.3">
      <c r="A781" s="5">
        <v>44611</v>
      </c>
      <c r="B781" t="s">
        <v>61</v>
      </c>
      <c r="D781">
        <v>21334218</v>
      </c>
      <c r="F781">
        <v>877490</v>
      </c>
      <c r="H781">
        <v>116568</v>
      </c>
      <c r="J781">
        <v>69.84</v>
      </c>
      <c r="L781">
        <v>2.87</v>
      </c>
      <c r="M781">
        <v>3816</v>
      </c>
      <c r="N781">
        <v>447322</v>
      </c>
      <c r="O781">
        <v>1.464</v>
      </c>
      <c r="P781">
        <v>36.78</v>
      </c>
      <c r="R781">
        <f t="shared" si="24"/>
        <v>69.84</v>
      </c>
      <c r="S781" s="3">
        <f t="shared" si="25"/>
        <v>0.34920000000000001</v>
      </c>
    </row>
    <row r="782" spans="1:19" x14ac:dyDescent="0.3">
      <c r="A782" s="5">
        <v>44612</v>
      </c>
      <c r="B782" t="s">
        <v>61</v>
      </c>
      <c r="D782">
        <v>21345539</v>
      </c>
      <c r="F782">
        <v>882292</v>
      </c>
      <c r="H782">
        <v>102994</v>
      </c>
      <c r="J782">
        <v>69.88</v>
      </c>
      <c r="L782">
        <v>2.89</v>
      </c>
      <c r="M782">
        <v>3372</v>
      </c>
      <c r="N782">
        <v>440625</v>
      </c>
      <c r="O782">
        <v>1.4419999999999999</v>
      </c>
      <c r="P782">
        <v>36.78</v>
      </c>
      <c r="R782">
        <f t="shared" si="24"/>
        <v>69.88</v>
      </c>
      <c r="S782" s="3">
        <f t="shared" si="25"/>
        <v>0.34939999999999999</v>
      </c>
    </row>
    <row r="783" spans="1:19" x14ac:dyDescent="0.3">
      <c r="A783" s="5">
        <v>44613</v>
      </c>
      <c r="B783" t="s">
        <v>61</v>
      </c>
      <c r="D783">
        <v>21371742</v>
      </c>
      <c r="F783">
        <v>906533</v>
      </c>
      <c r="H783">
        <v>102994</v>
      </c>
      <c r="J783">
        <v>69.959999999999994</v>
      </c>
      <c r="L783">
        <v>2.97</v>
      </c>
      <c r="M783">
        <v>3372</v>
      </c>
      <c r="N783">
        <v>371200</v>
      </c>
      <c r="O783">
        <v>1.2150000000000001</v>
      </c>
      <c r="P783">
        <v>36.78</v>
      </c>
      <c r="R783">
        <f t="shared" si="24"/>
        <v>69.959999999999994</v>
      </c>
      <c r="S783" s="3">
        <f t="shared" si="25"/>
        <v>0.34979999999999994</v>
      </c>
    </row>
    <row r="784" spans="1:19" x14ac:dyDescent="0.3">
      <c r="A784" s="5">
        <v>44614</v>
      </c>
      <c r="B784" t="s">
        <v>61</v>
      </c>
      <c r="D784">
        <v>21412986</v>
      </c>
      <c r="F784">
        <v>943956</v>
      </c>
      <c r="H784">
        <v>102994</v>
      </c>
      <c r="J784">
        <v>70.099999999999994</v>
      </c>
      <c r="L784">
        <v>3.09</v>
      </c>
      <c r="M784">
        <v>3372</v>
      </c>
      <c r="N784">
        <v>303924</v>
      </c>
      <c r="O784">
        <v>0.995</v>
      </c>
      <c r="P784">
        <v>36.78</v>
      </c>
      <c r="R784">
        <f t="shared" si="24"/>
        <v>70.099999999999994</v>
      </c>
      <c r="S784" s="3">
        <f t="shared" si="25"/>
        <v>0.35049999999999998</v>
      </c>
    </row>
    <row r="785" spans="1:19" x14ac:dyDescent="0.3">
      <c r="A785" s="5">
        <v>44615</v>
      </c>
      <c r="B785" t="s">
        <v>61</v>
      </c>
      <c r="C785">
        <v>36576224</v>
      </c>
      <c r="D785">
        <v>21459966</v>
      </c>
      <c r="E785">
        <v>17173830</v>
      </c>
      <c r="F785">
        <v>979850</v>
      </c>
      <c r="H785">
        <v>102994</v>
      </c>
      <c r="I785">
        <v>119.74</v>
      </c>
      <c r="J785">
        <v>70.25</v>
      </c>
      <c r="K785">
        <v>56.22</v>
      </c>
      <c r="L785">
        <v>3.21</v>
      </c>
      <c r="M785">
        <v>3372</v>
      </c>
      <c r="N785">
        <v>237468</v>
      </c>
      <c r="O785">
        <v>0.77700000000000002</v>
      </c>
      <c r="P785">
        <v>36.409999999999997</v>
      </c>
      <c r="R785">
        <f t="shared" si="24"/>
        <v>14.030000000000001</v>
      </c>
      <c r="S785" s="3">
        <f t="shared" si="25"/>
        <v>0.63234999999999997</v>
      </c>
    </row>
    <row r="786" spans="1:19" x14ac:dyDescent="0.3">
      <c r="A786" s="5">
        <v>44616</v>
      </c>
      <c r="B786" t="s">
        <v>61</v>
      </c>
      <c r="C786">
        <v>36691630</v>
      </c>
      <c r="D786">
        <v>21481168</v>
      </c>
      <c r="E786">
        <v>17235938</v>
      </c>
      <c r="F786">
        <v>1020541</v>
      </c>
      <c r="G786">
        <v>115406</v>
      </c>
      <c r="H786">
        <v>104767</v>
      </c>
      <c r="I786">
        <v>120.11</v>
      </c>
      <c r="J786">
        <v>70.319999999999993</v>
      </c>
      <c r="K786">
        <v>56.42</v>
      </c>
      <c r="L786">
        <v>3.34</v>
      </c>
      <c r="M786">
        <v>3430</v>
      </c>
      <c r="N786">
        <v>167329</v>
      </c>
      <c r="O786">
        <v>0.54800000000000004</v>
      </c>
      <c r="P786">
        <v>36.369999999999997</v>
      </c>
      <c r="R786">
        <f t="shared" si="24"/>
        <v>13.899999999999991</v>
      </c>
      <c r="S786" s="3">
        <f t="shared" si="25"/>
        <v>0.63369999999999993</v>
      </c>
    </row>
    <row r="787" spans="1:19" x14ac:dyDescent="0.3">
      <c r="A787" s="5">
        <v>44617</v>
      </c>
      <c r="B787" t="s">
        <v>61</v>
      </c>
      <c r="C787">
        <v>36814123</v>
      </c>
      <c r="D787">
        <v>21508937</v>
      </c>
      <c r="E787">
        <v>17306642</v>
      </c>
      <c r="F787">
        <v>1056772</v>
      </c>
      <c r="G787">
        <v>122493</v>
      </c>
      <c r="H787">
        <v>107553</v>
      </c>
      <c r="I787">
        <v>120.51</v>
      </c>
      <c r="J787">
        <v>70.41</v>
      </c>
      <c r="K787">
        <v>56.65</v>
      </c>
      <c r="L787">
        <v>3.46</v>
      </c>
      <c r="M787">
        <v>3521</v>
      </c>
      <c r="N787">
        <v>98128</v>
      </c>
      <c r="O787">
        <v>0.32100000000000001</v>
      </c>
      <c r="P787">
        <v>36.33</v>
      </c>
      <c r="R787">
        <f t="shared" si="24"/>
        <v>13.759999999999998</v>
      </c>
      <c r="S787" s="3">
        <f t="shared" si="25"/>
        <v>0.63529999999999998</v>
      </c>
    </row>
    <row r="788" spans="1:19" x14ac:dyDescent="0.3">
      <c r="A788" s="5">
        <v>44618</v>
      </c>
      <c r="B788" t="s">
        <v>61</v>
      </c>
      <c r="H788">
        <v>105017</v>
      </c>
      <c r="M788">
        <v>3438</v>
      </c>
      <c r="N788">
        <v>26096</v>
      </c>
      <c r="O788">
        <v>8.5000000000000006E-2</v>
      </c>
      <c r="P788">
        <v>36.33</v>
      </c>
      <c r="R788">
        <f t="shared" si="24"/>
        <v>0</v>
      </c>
      <c r="S788" s="3">
        <f t="shared" si="25"/>
        <v>0</v>
      </c>
    </row>
    <row r="789" spans="1:19" x14ac:dyDescent="0.3">
      <c r="A789" s="5">
        <v>44619</v>
      </c>
      <c r="B789" t="s">
        <v>61</v>
      </c>
      <c r="C789">
        <v>36984611</v>
      </c>
      <c r="D789">
        <v>21524836</v>
      </c>
      <c r="E789">
        <v>17419344</v>
      </c>
      <c r="F789">
        <v>1110550</v>
      </c>
      <c r="H789">
        <v>102481</v>
      </c>
      <c r="I789">
        <v>121.07</v>
      </c>
      <c r="J789">
        <v>70.459999999999994</v>
      </c>
      <c r="K789">
        <v>57.02</v>
      </c>
      <c r="L789">
        <v>3.64</v>
      </c>
      <c r="M789">
        <v>3355</v>
      </c>
      <c r="N789">
        <v>25614</v>
      </c>
      <c r="O789">
        <v>8.4000000000000005E-2</v>
      </c>
      <c r="P789">
        <v>36.26</v>
      </c>
      <c r="R789">
        <f t="shared" si="24"/>
        <v>13.439999999999991</v>
      </c>
      <c r="S789" s="3">
        <f t="shared" si="25"/>
        <v>0.63739999999999997</v>
      </c>
    </row>
    <row r="790" spans="1:19" x14ac:dyDescent="0.3">
      <c r="A790" s="5">
        <v>44620</v>
      </c>
      <c r="B790" t="s">
        <v>61</v>
      </c>
      <c r="C790">
        <v>37125732</v>
      </c>
      <c r="D790">
        <v>21575023</v>
      </c>
      <c r="E790">
        <v>17490473</v>
      </c>
      <c r="F790">
        <v>1147229</v>
      </c>
      <c r="G790">
        <v>141121</v>
      </c>
      <c r="H790">
        <v>107928</v>
      </c>
      <c r="I790">
        <v>121.53</v>
      </c>
      <c r="J790">
        <v>70.63</v>
      </c>
      <c r="K790">
        <v>57.26</v>
      </c>
      <c r="L790">
        <v>3.76</v>
      </c>
      <c r="M790">
        <v>3533</v>
      </c>
      <c r="N790">
        <v>29040</v>
      </c>
      <c r="O790">
        <v>9.5000000000000001E-2</v>
      </c>
      <c r="P790">
        <v>36.22</v>
      </c>
      <c r="R790">
        <f t="shared" si="24"/>
        <v>13.369999999999997</v>
      </c>
      <c r="S790" s="3">
        <f t="shared" si="25"/>
        <v>0.63944999999999996</v>
      </c>
    </row>
    <row r="791" spans="1:19" x14ac:dyDescent="0.3">
      <c r="A791" s="5">
        <v>44621</v>
      </c>
      <c r="B791" t="s">
        <v>61</v>
      </c>
      <c r="C791">
        <v>37233872</v>
      </c>
      <c r="D791">
        <v>21594817</v>
      </c>
      <c r="E791">
        <v>17547281</v>
      </c>
      <c r="F791">
        <v>1189716</v>
      </c>
      <c r="G791">
        <v>108140</v>
      </c>
      <c r="H791">
        <v>108663</v>
      </c>
      <c r="I791">
        <v>121.89</v>
      </c>
      <c r="J791">
        <v>70.69</v>
      </c>
      <c r="K791">
        <v>57.44</v>
      </c>
      <c r="L791">
        <v>3.89</v>
      </c>
      <c r="M791">
        <v>3557</v>
      </c>
      <c r="N791">
        <v>25976</v>
      </c>
      <c r="O791">
        <v>8.5000000000000006E-2</v>
      </c>
      <c r="P791">
        <v>36.19</v>
      </c>
      <c r="R791">
        <f t="shared" si="24"/>
        <v>13.25</v>
      </c>
      <c r="S791" s="3">
        <f t="shared" si="25"/>
        <v>0.64064999999999994</v>
      </c>
    </row>
    <row r="792" spans="1:19" x14ac:dyDescent="0.3">
      <c r="A792" s="5">
        <v>44622</v>
      </c>
      <c r="B792" t="s">
        <v>61</v>
      </c>
      <c r="C792">
        <v>37269660</v>
      </c>
      <c r="D792">
        <v>21603183</v>
      </c>
      <c r="E792">
        <v>17567825</v>
      </c>
      <c r="F792">
        <v>1199508</v>
      </c>
      <c r="G792">
        <v>35788</v>
      </c>
      <c r="H792">
        <v>99062</v>
      </c>
      <c r="I792">
        <v>122.01</v>
      </c>
      <c r="J792">
        <v>70.72</v>
      </c>
      <c r="K792">
        <v>57.51</v>
      </c>
      <c r="L792">
        <v>3.93</v>
      </c>
      <c r="M792">
        <v>3243</v>
      </c>
      <c r="N792">
        <v>20460</v>
      </c>
      <c r="O792">
        <v>6.7000000000000004E-2</v>
      </c>
      <c r="P792">
        <v>36.18</v>
      </c>
      <c r="R792">
        <f t="shared" si="24"/>
        <v>13.21</v>
      </c>
      <c r="S792" s="3">
        <f t="shared" si="25"/>
        <v>0.64115</v>
      </c>
    </row>
    <row r="793" spans="1:19" x14ac:dyDescent="0.3">
      <c r="A793" s="5">
        <v>44623</v>
      </c>
      <c r="B793" t="s">
        <v>61</v>
      </c>
      <c r="H793">
        <v>94146</v>
      </c>
      <c r="M793">
        <v>3082</v>
      </c>
      <c r="N793">
        <v>19148</v>
      </c>
      <c r="O793">
        <v>6.3E-2</v>
      </c>
      <c r="P793">
        <v>36.18</v>
      </c>
      <c r="R793">
        <f t="shared" si="24"/>
        <v>0</v>
      </c>
      <c r="S793" s="3">
        <f t="shared" si="25"/>
        <v>0</v>
      </c>
    </row>
    <row r="794" spans="1:19" x14ac:dyDescent="0.3">
      <c r="A794" s="5">
        <v>44624</v>
      </c>
      <c r="B794" t="s">
        <v>61</v>
      </c>
      <c r="C794">
        <v>37431640</v>
      </c>
      <c r="D794">
        <v>21627227</v>
      </c>
      <c r="E794">
        <v>17681043</v>
      </c>
      <c r="F794">
        <v>1231042</v>
      </c>
      <c r="H794">
        <v>88217</v>
      </c>
      <c r="I794">
        <v>122.54</v>
      </c>
      <c r="J794">
        <v>70.8</v>
      </c>
      <c r="K794">
        <v>57.88</v>
      </c>
      <c r="L794">
        <v>4.03</v>
      </c>
      <c r="M794">
        <v>2888</v>
      </c>
      <c r="N794">
        <v>16899</v>
      </c>
      <c r="O794">
        <v>5.5E-2</v>
      </c>
      <c r="P794">
        <v>36.11</v>
      </c>
      <c r="R794">
        <f t="shared" si="24"/>
        <v>12.919999999999995</v>
      </c>
      <c r="S794" s="3">
        <f t="shared" si="25"/>
        <v>0.64340000000000008</v>
      </c>
    </row>
    <row r="795" spans="1:19" x14ac:dyDescent="0.3">
      <c r="A795" s="5">
        <v>44625</v>
      </c>
      <c r="B795" t="s">
        <v>61</v>
      </c>
      <c r="C795">
        <v>37682890</v>
      </c>
      <c r="D795">
        <v>21645983</v>
      </c>
      <c r="E795">
        <v>17843980</v>
      </c>
      <c r="F795">
        <v>1312118</v>
      </c>
      <c r="G795">
        <v>251250</v>
      </c>
      <c r="H795">
        <v>111932</v>
      </c>
      <c r="I795">
        <v>123.36</v>
      </c>
      <c r="J795">
        <v>70.86</v>
      </c>
      <c r="K795">
        <v>58.41</v>
      </c>
      <c r="L795">
        <v>4.3</v>
      </c>
      <c r="M795">
        <v>3664</v>
      </c>
      <c r="N795">
        <v>18442</v>
      </c>
      <c r="O795">
        <v>0.06</v>
      </c>
      <c r="P795">
        <v>36.020000000000003</v>
      </c>
      <c r="R795">
        <f t="shared" si="24"/>
        <v>12.450000000000003</v>
      </c>
      <c r="S795" s="3">
        <f t="shared" si="25"/>
        <v>0.64634999999999987</v>
      </c>
    </row>
    <row r="796" spans="1:19" x14ac:dyDescent="0.3">
      <c r="A796" s="5">
        <v>44626</v>
      </c>
      <c r="B796" t="s">
        <v>61</v>
      </c>
      <c r="H796">
        <v>126412</v>
      </c>
      <c r="M796">
        <v>4138</v>
      </c>
      <c r="N796">
        <v>20045</v>
      </c>
      <c r="O796">
        <v>6.6000000000000003E-2</v>
      </c>
      <c r="P796">
        <v>36.020000000000003</v>
      </c>
      <c r="R796">
        <f t="shared" si="24"/>
        <v>0</v>
      </c>
      <c r="S796" s="3">
        <f t="shared" si="25"/>
        <v>0</v>
      </c>
    </row>
    <row r="797" spans="1:19" x14ac:dyDescent="0.3">
      <c r="A797" s="5">
        <v>44627</v>
      </c>
      <c r="B797" t="s">
        <v>61</v>
      </c>
      <c r="H797">
        <v>132910</v>
      </c>
      <c r="M797">
        <v>4351</v>
      </c>
      <c r="N797">
        <v>15614</v>
      </c>
      <c r="O797">
        <v>5.0999999999999997E-2</v>
      </c>
      <c r="P797">
        <v>36.020000000000003</v>
      </c>
      <c r="R797">
        <f t="shared" si="24"/>
        <v>0</v>
      </c>
      <c r="S797" s="3">
        <f t="shared" si="25"/>
        <v>0</v>
      </c>
    </row>
    <row r="798" spans="1:19" x14ac:dyDescent="0.3">
      <c r="A798" s="5">
        <v>44628</v>
      </c>
      <c r="B798" t="s">
        <v>61</v>
      </c>
      <c r="C798">
        <v>38242703</v>
      </c>
      <c r="D798">
        <v>21703489</v>
      </c>
      <c r="E798">
        <v>18151365</v>
      </c>
      <c r="F798">
        <v>1527105</v>
      </c>
      <c r="H798">
        <v>144119</v>
      </c>
      <c r="I798">
        <v>125.19</v>
      </c>
      <c r="J798">
        <v>71.05</v>
      </c>
      <c r="K798">
        <v>59.42</v>
      </c>
      <c r="L798">
        <v>5</v>
      </c>
      <c r="M798">
        <v>4718</v>
      </c>
      <c r="N798">
        <v>15525</v>
      </c>
      <c r="O798">
        <v>5.0999999999999997E-2</v>
      </c>
      <c r="P798">
        <v>35.840000000000003</v>
      </c>
      <c r="R798">
        <f t="shared" si="24"/>
        <v>11.629999999999995</v>
      </c>
      <c r="S798" s="3">
        <f t="shared" si="25"/>
        <v>0.65234999999999999</v>
      </c>
    </row>
    <row r="799" spans="1:19" x14ac:dyDescent="0.3">
      <c r="A799" s="5">
        <v>44629</v>
      </c>
      <c r="B799" t="s">
        <v>61</v>
      </c>
      <c r="C799">
        <v>38342802</v>
      </c>
      <c r="D799">
        <v>21720895</v>
      </c>
      <c r="E799">
        <v>18200930</v>
      </c>
      <c r="F799">
        <v>1565790</v>
      </c>
      <c r="G799">
        <v>100099</v>
      </c>
      <c r="H799">
        <v>153306</v>
      </c>
      <c r="I799">
        <v>125.52</v>
      </c>
      <c r="J799">
        <v>71.11</v>
      </c>
      <c r="K799">
        <v>59.58</v>
      </c>
      <c r="L799">
        <v>5.13</v>
      </c>
      <c r="M799">
        <v>5019</v>
      </c>
      <c r="N799">
        <v>16816</v>
      </c>
      <c r="O799">
        <v>5.5E-2</v>
      </c>
      <c r="P799">
        <v>35.81</v>
      </c>
      <c r="R799">
        <f t="shared" si="24"/>
        <v>11.530000000000001</v>
      </c>
      <c r="S799" s="3">
        <f t="shared" si="25"/>
        <v>0.65344999999999998</v>
      </c>
    </row>
    <row r="800" spans="1:19" x14ac:dyDescent="0.3">
      <c r="A800" s="5">
        <v>44630</v>
      </c>
      <c r="B800" t="s">
        <v>61</v>
      </c>
      <c r="H800">
        <v>159967</v>
      </c>
      <c r="M800">
        <v>5237</v>
      </c>
      <c r="N800">
        <v>17938</v>
      </c>
      <c r="O800">
        <v>5.8999999999999997E-2</v>
      </c>
      <c r="P800">
        <v>35.81</v>
      </c>
      <c r="R800">
        <f t="shared" si="24"/>
        <v>0</v>
      </c>
      <c r="S800" s="3">
        <f t="shared" si="25"/>
        <v>0</v>
      </c>
    </row>
    <row r="801" spans="1:19" x14ac:dyDescent="0.3">
      <c r="A801" s="5">
        <v>44631</v>
      </c>
      <c r="B801" t="s">
        <v>61</v>
      </c>
      <c r="C801">
        <v>38598032</v>
      </c>
      <c r="D801">
        <v>21760650</v>
      </c>
      <c r="E801">
        <v>18352121</v>
      </c>
      <c r="F801">
        <v>1642457</v>
      </c>
      <c r="H801">
        <v>166627</v>
      </c>
      <c r="I801">
        <v>126.35</v>
      </c>
      <c r="J801">
        <v>71.239999999999995</v>
      </c>
      <c r="K801">
        <v>60.08</v>
      </c>
      <c r="L801">
        <v>5.38</v>
      </c>
      <c r="M801">
        <v>5455</v>
      </c>
      <c r="N801">
        <v>19060</v>
      </c>
      <c r="O801">
        <v>6.2E-2</v>
      </c>
      <c r="P801">
        <v>35.729999999999997</v>
      </c>
      <c r="R801">
        <f t="shared" si="24"/>
        <v>11.159999999999997</v>
      </c>
      <c r="S801" s="3">
        <f t="shared" si="25"/>
        <v>0.65659999999999996</v>
      </c>
    </row>
    <row r="802" spans="1:19" x14ac:dyDescent="0.3">
      <c r="A802" s="5">
        <v>44632</v>
      </c>
      <c r="B802" t="s">
        <v>61</v>
      </c>
      <c r="C802">
        <v>38699896</v>
      </c>
      <c r="D802">
        <v>21773697</v>
      </c>
      <c r="E802">
        <v>18399451</v>
      </c>
      <c r="F802">
        <v>1688819</v>
      </c>
      <c r="G802">
        <v>101864</v>
      </c>
      <c r="H802">
        <v>145287</v>
      </c>
      <c r="I802">
        <v>126.69</v>
      </c>
      <c r="J802">
        <v>71.28</v>
      </c>
      <c r="K802">
        <v>60.23</v>
      </c>
      <c r="L802">
        <v>5.53</v>
      </c>
      <c r="M802">
        <v>4756</v>
      </c>
      <c r="N802">
        <v>18245</v>
      </c>
      <c r="O802">
        <v>0.06</v>
      </c>
      <c r="P802">
        <v>35.700000000000003</v>
      </c>
      <c r="R802">
        <f t="shared" si="24"/>
        <v>11.050000000000004</v>
      </c>
      <c r="S802" s="3">
        <f t="shared" si="25"/>
        <v>0.65754999999999997</v>
      </c>
    </row>
    <row r="803" spans="1:19" x14ac:dyDescent="0.3">
      <c r="A803" s="5">
        <v>44633</v>
      </c>
      <c r="B803" t="s">
        <v>61</v>
      </c>
      <c r="C803">
        <v>38791546</v>
      </c>
      <c r="D803">
        <v>21779635</v>
      </c>
      <c r="E803">
        <v>18452467</v>
      </c>
      <c r="F803">
        <v>1723833</v>
      </c>
      <c r="G803">
        <v>91650</v>
      </c>
      <c r="H803">
        <v>131722</v>
      </c>
      <c r="I803">
        <v>126.99</v>
      </c>
      <c r="J803">
        <v>71.3</v>
      </c>
      <c r="K803">
        <v>60.41</v>
      </c>
      <c r="L803">
        <v>5.64</v>
      </c>
      <c r="M803">
        <v>4312</v>
      </c>
      <c r="N803">
        <v>16355</v>
      </c>
      <c r="O803">
        <v>5.3999999999999999E-2</v>
      </c>
      <c r="P803">
        <v>35.67</v>
      </c>
      <c r="R803">
        <f t="shared" si="24"/>
        <v>10.89</v>
      </c>
      <c r="S803" s="3">
        <f t="shared" si="25"/>
        <v>0.65854999999999986</v>
      </c>
    </row>
    <row r="804" spans="1:19" x14ac:dyDescent="0.3">
      <c r="A804" s="5">
        <v>44634</v>
      </c>
      <c r="B804" t="s">
        <v>61</v>
      </c>
      <c r="C804">
        <v>38883962</v>
      </c>
      <c r="D804">
        <v>21801530</v>
      </c>
      <c r="E804">
        <v>18502119</v>
      </c>
      <c r="F804">
        <v>1757697</v>
      </c>
      <c r="G804">
        <v>92416</v>
      </c>
      <c r="H804">
        <v>118266</v>
      </c>
      <c r="I804">
        <v>127.29</v>
      </c>
      <c r="J804">
        <v>71.37</v>
      </c>
      <c r="K804">
        <v>60.57</v>
      </c>
      <c r="L804">
        <v>5.75</v>
      </c>
      <c r="M804">
        <v>3872</v>
      </c>
      <c r="N804">
        <v>16744</v>
      </c>
      <c r="O804">
        <v>5.5E-2</v>
      </c>
      <c r="P804">
        <v>35.64</v>
      </c>
      <c r="R804">
        <f t="shared" si="24"/>
        <v>10.800000000000004</v>
      </c>
      <c r="S804" s="3">
        <f t="shared" si="25"/>
        <v>0.65969999999999995</v>
      </c>
    </row>
    <row r="805" spans="1:19" x14ac:dyDescent="0.3">
      <c r="A805" s="5">
        <v>44635</v>
      </c>
      <c r="B805" t="s">
        <v>61</v>
      </c>
      <c r="C805">
        <v>38994812</v>
      </c>
      <c r="D805">
        <v>21825357</v>
      </c>
      <c r="E805">
        <v>18547345</v>
      </c>
      <c r="F805">
        <v>1805555</v>
      </c>
      <c r="G805">
        <v>110850</v>
      </c>
      <c r="H805">
        <v>107444</v>
      </c>
      <c r="I805">
        <v>127.65</v>
      </c>
      <c r="J805">
        <v>71.45</v>
      </c>
      <c r="K805">
        <v>60.72</v>
      </c>
      <c r="L805">
        <v>5.91</v>
      </c>
      <c r="M805">
        <v>3517</v>
      </c>
      <c r="N805">
        <v>17410</v>
      </c>
      <c r="O805">
        <v>5.7000000000000002E-2</v>
      </c>
      <c r="P805">
        <v>35.61</v>
      </c>
      <c r="R805">
        <f t="shared" si="24"/>
        <v>10.730000000000004</v>
      </c>
      <c r="S805" s="3">
        <f t="shared" si="25"/>
        <v>0.66085000000000005</v>
      </c>
    </row>
    <row r="806" spans="1:19" x14ac:dyDescent="0.3">
      <c r="A806" s="5">
        <v>44636</v>
      </c>
      <c r="B806" t="s">
        <v>61</v>
      </c>
      <c r="C806">
        <v>39101413</v>
      </c>
      <c r="D806">
        <v>21850541</v>
      </c>
      <c r="E806">
        <v>18594712</v>
      </c>
      <c r="F806">
        <v>1845736</v>
      </c>
      <c r="G806">
        <v>106601</v>
      </c>
      <c r="H806">
        <v>108373</v>
      </c>
      <c r="I806">
        <v>128</v>
      </c>
      <c r="J806">
        <v>71.53</v>
      </c>
      <c r="K806">
        <v>60.87</v>
      </c>
      <c r="L806">
        <v>6.04</v>
      </c>
      <c r="M806">
        <v>3548</v>
      </c>
      <c r="N806">
        <v>18521</v>
      </c>
      <c r="O806">
        <v>6.0999999999999999E-2</v>
      </c>
      <c r="P806">
        <v>35.590000000000003</v>
      </c>
      <c r="R806">
        <f t="shared" si="24"/>
        <v>10.660000000000004</v>
      </c>
      <c r="S806" s="3">
        <f t="shared" si="25"/>
        <v>0.66200000000000003</v>
      </c>
    </row>
    <row r="807" spans="1:19" x14ac:dyDescent="0.3">
      <c r="A807" s="5">
        <v>44637</v>
      </c>
      <c r="B807" t="s">
        <v>61</v>
      </c>
      <c r="C807">
        <v>39251518</v>
      </c>
      <c r="D807">
        <v>21886586</v>
      </c>
      <c r="E807">
        <v>18678409</v>
      </c>
      <c r="F807">
        <v>1881290</v>
      </c>
      <c r="G807">
        <v>150105</v>
      </c>
      <c r="H807">
        <v>111586</v>
      </c>
      <c r="I807">
        <v>128.49</v>
      </c>
      <c r="J807">
        <v>71.650000000000006</v>
      </c>
      <c r="K807">
        <v>61.15</v>
      </c>
      <c r="L807">
        <v>6.16</v>
      </c>
      <c r="M807">
        <v>3653</v>
      </c>
      <c r="N807">
        <v>20830</v>
      </c>
      <c r="O807">
        <v>6.8000000000000005E-2</v>
      </c>
      <c r="P807">
        <v>35.54</v>
      </c>
      <c r="R807">
        <f t="shared" si="24"/>
        <v>10.500000000000007</v>
      </c>
      <c r="S807" s="3">
        <f t="shared" si="25"/>
        <v>0.66400000000000003</v>
      </c>
    </row>
    <row r="808" spans="1:19" x14ac:dyDescent="0.3">
      <c r="A808" s="5">
        <v>44638</v>
      </c>
      <c r="B808" t="s">
        <v>61</v>
      </c>
      <c r="C808">
        <v>39281058</v>
      </c>
      <c r="E808">
        <v>18698595</v>
      </c>
      <c r="F808">
        <v>1886637</v>
      </c>
      <c r="G808">
        <v>29540</v>
      </c>
      <c r="H808">
        <v>97575</v>
      </c>
      <c r="I808">
        <v>128.59</v>
      </c>
      <c r="K808">
        <v>61.21</v>
      </c>
      <c r="L808">
        <v>6.18</v>
      </c>
      <c r="M808">
        <v>3194</v>
      </c>
      <c r="N808">
        <v>18236</v>
      </c>
      <c r="O808">
        <v>0.06</v>
      </c>
      <c r="P808">
        <v>35.53</v>
      </c>
      <c r="R808">
        <f t="shared" si="24"/>
        <v>-61.21</v>
      </c>
      <c r="S808" s="3">
        <f t="shared" si="25"/>
        <v>0.61209999999999998</v>
      </c>
    </row>
    <row r="809" spans="1:19" x14ac:dyDescent="0.3">
      <c r="A809" s="5">
        <v>44639</v>
      </c>
      <c r="B809" t="s">
        <v>61</v>
      </c>
      <c r="C809">
        <v>39289842</v>
      </c>
      <c r="D809">
        <v>21890015</v>
      </c>
      <c r="E809">
        <v>18703726</v>
      </c>
      <c r="F809">
        <v>1892810</v>
      </c>
      <c r="G809">
        <v>8784</v>
      </c>
      <c r="H809">
        <v>84278</v>
      </c>
      <c r="I809">
        <v>128.62</v>
      </c>
      <c r="J809">
        <v>71.66</v>
      </c>
      <c r="K809">
        <v>61.23</v>
      </c>
      <c r="L809">
        <v>6.2</v>
      </c>
      <c r="M809">
        <v>2759</v>
      </c>
      <c r="N809">
        <v>16617</v>
      </c>
      <c r="O809">
        <v>5.3999999999999999E-2</v>
      </c>
      <c r="P809">
        <v>35.520000000000003</v>
      </c>
      <c r="R809">
        <f t="shared" si="24"/>
        <v>10.43</v>
      </c>
      <c r="S809" s="3">
        <f t="shared" si="25"/>
        <v>0.66444999999999999</v>
      </c>
    </row>
    <row r="810" spans="1:19" x14ac:dyDescent="0.3">
      <c r="A810" s="5">
        <v>44640</v>
      </c>
      <c r="B810" t="s">
        <v>61</v>
      </c>
      <c r="H810">
        <v>77224</v>
      </c>
      <c r="M810">
        <v>2528</v>
      </c>
      <c r="N810">
        <v>16696</v>
      </c>
      <c r="O810">
        <v>5.5E-2</v>
      </c>
      <c r="P810">
        <v>35.520000000000003</v>
      </c>
      <c r="R810">
        <f t="shared" si="24"/>
        <v>0</v>
      </c>
      <c r="S810" s="3">
        <f t="shared" si="25"/>
        <v>0</v>
      </c>
    </row>
    <row r="811" spans="1:19" x14ac:dyDescent="0.3">
      <c r="A811" s="5">
        <v>44641</v>
      </c>
      <c r="B811" t="s">
        <v>61</v>
      </c>
      <c r="C811">
        <v>39374392</v>
      </c>
      <c r="D811">
        <v>21903002</v>
      </c>
      <c r="E811">
        <v>18748545</v>
      </c>
      <c r="F811">
        <v>1925234</v>
      </c>
      <c r="H811">
        <v>70061</v>
      </c>
      <c r="I811">
        <v>128.9</v>
      </c>
      <c r="J811">
        <v>71.7</v>
      </c>
      <c r="K811">
        <v>61.37</v>
      </c>
      <c r="L811">
        <v>6.3</v>
      </c>
      <c r="M811">
        <v>2294</v>
      </c>
      <c r="N811">
        <v>14496</v>
      </c>
      <c r="O811">
        <v>4.7E-2</v>
      </c>
      <c r="P811">
        <v>35.5</v>
      </c>
      <c r="R811">
        <f t="shared" si="24"/>
        <v>10.330000000000005</v>
      </c>
      <c r="S811" s="3">
        <f t="shared" si="25"/>
        <v>0.66535</v>
      </c>
    </row>
    <row r="812" spans="1:19" x14ac:dyDescent="0.3">
      <c r="A812" s="5">
        <v>44642</v>
      </c>
      <c r="B812" t="s">
        <v>61</v>
      </c>
      <c r="C812">
        <v>39448435</v>
      </c>
      <c r="D812">
        <v>21914335</v>
      </c>
      <c r="E812">
        <v>18770559</v>
      </c>
      <c r="F812">
        <v>1970389</v>
      </c>
      <c r="G812">
        <v>74043</v>
      </c>
      <c r="H812">
        <v>64803</v>
      </c>
      <c r="I812">
        <v>129.13999999999999</v>
      </c>
      <c r="J812">
        <v>71.739999999999995</v>
      </c>
      <c r="K812">
        <v>61.45</v>
      </c>
      <c r="L812">
        <v>6.45</v>
      </c>
      <c r="M812">
        <v>2121</v>
      </c>
      <c r="N812">
        <v>12711</v>
      </c>
      <c r="O812">
        <v>4.2000000000000003E-2</v>
      </c>
      <c r="P812">
        <v>35.479999999999997</v>
      </c>
      <c r="R812">
        <f t="shared" si="24"/>
        <v>10.289999999999992</v>
      </c>
      <c r="S812" s="3">
        <f t="shared" si="25"/>
        <v>0.66595000000000004</v>
      </c>
    </row>
    <row r="813" spans="1:19" x14ac:dyDescent="0.3">
      <c r="A813" s="5">
        <v>44643</v>
      </c>
      <c r="B813" t="s">
        <v>61</v>
      </c>
      <c r="C813">
        <v>39551107</v>
      </c>
      <c r="D813">
        <v>21937330</v>
      </c>
      <c r="E813">
        <v>18817844</v>
      </c>
      <c r="F813">
        <v>2011730</v>
      </c>
      <c r="G813">
        <v>102672</v>
      </c>
      <c r="H813">
        <v>64242</v>
      </c>
      <c r="I813">
        <v>129.47</v>
      </c>
      <c r="J813">
        <v>71.81</v>
      </c>
      <c r="K813">
        <v>61.6</v>
      </c>
      <c r="L813">
        <v>6.59</v>
      </c>
      <c r="M813">
        <v>2103</v>
      </c>
      <c r="N813">
        <v>12398</v>
      </c>
      <c r="O813">
        <v>4.1000000000000002E-2</v>
      </c>
      <c r="P813">
        <v>35.46</v>
      </c>
      <c r="R813">
        <f t="shared" si="24"/>
        <v>10.210000000000001</v>
      </c>
      <c r="S813" s="3">
        <f t="shared" si="25"/>
        <v>0.66705000000000003</v>
      </c>
    </row>
    <row r="814" spans="1:19" x14ac:dyDescent="0.3">
      <c r="A814" s="5">
        <v>44644</v>
      </c>
      <c r="B814" t="s">
        <v>61</v>
      </c>
      <c r="C814">
        <v>39635151</v>
      </c>
      <c r="D814">
        <v>21948907</v>
      </c>
      <c r="E814">
        <v>18852979</v>
      </c>
      <c r="F814">
        <v>2055139</v>
      </c>
      <c r="G814">
        <v>84044</v>
      </c>
      <c r="H814">
        <v>54805</v>
      </c>
      <c r="I814">
        <v>129.75</v>
      </c>
      <c r="J814">
        <v>71.849999999999994</v>
      </c>
      <c r="K814">
        <v>61.72</v>
      </c>
      <c r="L814">
        <v>6.73</v>
      </c>
      <c r="M814">
        <v>1794</v>
      </c>
      <c r="N814">
        <v>8903</v>
      </c>
      <c r="O814">
        <v>2.9000000000000001E-2</v>
      </c>
      <c r="P814">
        <v>35.44</v>
      </c>
      <c r="R814">
        <f t="shared" si="24"/>
        <v>10.129999999999995</v>
      </c>
      <c r="S814" s="3">
        <f t="shared" si="25"/>
        <v>0.66784999999999994</v>
      </c>
    </row>
    <row r="815" spans="1:19" x14ac:dyDescent="0.3">
      <c r="A815" s="5">
        <v>44645</v>
      </c>
      <c r="B815" t="s">
        <v>61</v>
      </c>
      <c r="C815">
        <v>39701499</v>
      </c>
      <c r="D815">
        <v>21953195</v>
      </c>
      <c r="E815">
        <v>18895906</v>
      </c>
      <c r="F815">
        <v>2077337</v>
      </c>
      <c r="G815">
        <v>66348</v>
      </c>
      <c r="H815">
        <v>60063</v>
      </c>
      <c r="I815">
        <v>129.97</v>
      </c>
      <c r="J815">
        <v>71.87</v>
      </c>
      <c r="K815">
        <v>61.86</v>
      </c>
      <c r="L815">
        <v>6.8</v>
      </c>
      <c r="M815">
        <v>1966</v>
      </c>
      <c r="N815">
        <v>9271</v>
      </c>
      <c r="O815">
        <v>0.03</v>
      </c>
      <c r="P815">
        <v>35.409999999999997</v>
      </c>
      <c r="R815">
        <f t="shared" si="24"/>
        <v>10.010000000000005</v>
      </c>
      <c r="S815" s="3">
        <f t="shared" si="25"/>
        <v>0.66865000000000008</v>
      </c>
    </row>
    <row r="816" spans="1:19" x14ac:dyDescent="0.3">
      <c r="A816" s="5">
        <v>44646</v>
      </c>
      <c r="B816" t="s">
        <v>61</v>
      </c>
      <c r="C816">
        <v>39751266</v>
      </c>
      <c r="D816">
        <v>21961905</v>
      </c>
      <c r="E816">
        <v>18916400</v>
      </c>
      <c r="F816">
        <v>2104308</v>
      </c>
      <c r="G816">
        <v>49767</v>
      </c>
      <c r="H816">
        <v>65918</v>
      </c>
      <c r="I816">
        <v>130.13</v>
      </c>
      <c r="J816">
        <v>71.89</v>
      </c>
      <c r="K816">
        <v>61.92</v>
      </c>
      <c r="L816">
        <v>6.89</v>
      </c>
      <c r="M816">
        <v>2158</v>
      </c>
      <c r="N816">
        <v>10270</v>
      </c>
      <c r="O816">
        <v>3.4000000000000002E-2</v>
      </c>
      <c r="P816">
        <v>35.4</v>
      </c>
      <c r="R816">
        <f t="shared" si="24"/>
        <v>9.9699999999999989</v>
      </c>
      <c r="S816" s="3">
        <f t="shared" si="25"/>
        <v>0.66905000000000003</v>
      </c>
    </row>
    <row r="817" spans="1:19" x14ac:dyDescent="0.3">
      <c r="A817" s="5">
        <v>44647</v>
      </c>
      <c r="B817" t="s">
        <v>61</v>
      </c>
      <c r="C817">
        <v>39777115</v>
      </c>
      <c r="D817">
        <v>21966002</v>
      </c>
      <c r="E817">
        <v>18932518</v>
      </c>
      <c r="F817">
        <v>2112328</v>
      </c>
      <c r="G817">
        <v>25849</v>
      </c>
      <c r="H817">
        <v>63571</v>
      </c>
      <c r="I817">
        <v>130.21</v>
      </c>
      <c r="J817">
        <v>71.91</v>
      </c>
      <c r="K817">
        <v>61.98</v>
      </c>
      <c r="L817">
        <v>6.91</v>
      </c>
      <c r="M817">
        <v>2081</v>
      </c>
      <c r="N817">
        <v>9928</v>
      </c>
      <c r="O817">
        <v>3.3000000000000002E-2</v>
      </c>
      <c r="P817">
        <v>35.39</v>
      </c>
      <c r="R817">
        <f t="shared" si="24"/>
        <v>9.93</v>
      </c>
      <c r="S817" s="3">
        <f t="shared" si="25"/>
        <v>0.66944999999999988</v>
      </c>
    </row>
    <row r="818" spans="1:19" x14ac:dyDescent="0.3">
      <c r="A818" s="5">
        <v>44648</v>
      </c>
      <c r="B818" t="s">
        <v>61</v>
      </c>
      <c r="C818">
        <v>39884435</v>
      </c>
      <c r="D818">
        <v>21984499</v>
      </c>
      <c r="E818">
        <v>18987229</v>
      </c>
      <c r="F818">
        <v>2152086</v>
      </c>
      <c r="G818">
        <v>107320</v>
      </c>
      <c r="H818">
        <v>72863</v>
      </c>
      <c r="I818">
        <v>130.56</v>
      </c>
      <c r="J818">
        <v>71.97</v>
      </c>
      <c r="K818">
        <v>62.16</v>
      </c>
      <c r="L818">
        <v>7.05</v>
      </c>
      <c r="M818">
        <v>2385</v>
      </c>
      <c r="N818">
        <v>11642</v>
      </c>
      <c r="O818">
        <v>3.7999999999999999E-2</v>
      </c>
      <c r="P818">
        <v>35.36</v>
      </c>
      <c r="R818">
        <f t="shared" si="24"/>
        <v>9.8100000000000023</v>
      </c>
      <c r="S818" s="3">
        <f t="shared" si="25"/>
        <v>0.67064999999999997</v>
      </c>
    </row>
    <row r="819" spans="1:19" x14ac:dyDescent="0.3">
      <c r="A819" s="5">
        <v>44649</v>
      </c>
      <c r="B819" t="s">
        <v>61</v>
      </c>
      <c r="C819">
        <v>39935568</v>
      </c>
      <c r="D819">
        <v>21994736</v>
      </c>
      <c r="E819">
        <v>19014212</v>
      </c>
      <c r="F819">
        <v>2171347</v>
      </c>
      <c r="G819">
        <v>51133</v>
      </c>
      <c r="H819">
        <v>69590</v>
      </c>
      <c r="I819">
        <v>130.72999999999999</v>
      </c>
      <c r="J819">
        <v>72</v>
      </c>
      <c r="K819">
        <v>62.24</v>
      </c>
      <c r="L819">
        <v>7.11</v>
      </c>
      <c r="M819">
        <v>2278</v>
      </c>
      <c r="N819">
        <v>11486</v>
      </c>
      <c r="O819">
        <v>3.7999999999999999E-2</v>
      </c>
      <c r="P819">
        <v>35.35</v>
      </c>
      <c r="R819">
        <f t="shared" si="24"/>
        <v>9.759999999999998</v>
      </c>
      <c r="S819" s="3">
        <f t="shared" si="25"/>
        <v>0.67120000000000002</v>
      </c>
    </row>
    <row r="820" spans="1:19" x14ac:dyDescent="0.3">
      <c r="A820" s="5">
        <v>44650</v>
      </c>
      <c r="B820" t="s">
        <v>61</v>
      </c>
      <c r="C820">
        <v>40007310</v>
      </c>
      <c r="D820">
        <v>22009251</v>
      </c>
      <c r="E820">
        <v>19054582</v>
      </c>
      <c r="F820">
        <v>2196059</v>
      </c>
      <c r="G820">
        <v>71742</v>
      </c>
      <c r="H820">
        <v>65172</v>
      </c>
      <c r="I820">
        <v>130.97</v>
      </c>
      <c r="J820">
        <v>72.05</v>
      </c>
      <c r="K820">
        <v>62.38</v>
      </c>
      <c r="L820">
        <v>7.19</v>
      </c>
      <c r="M820">
        <v>2133</v>
      </c>
      <c r="N820">
        <v>10274</v>
      </c>
      <c r="O820">
        <v>3.4000000000000002E-2</v>
      </c>
      <c r="P820">
        <v>35.32</v>
      </c>
      <c r="R820">
        <f t="shared" si="24"/>
        <v>9.6699999999999946</v>
      </c>
      <c r="S820" s="3">
        <f t="shared" si="25"/>
        <v>0.67215000000000003</v>
      </c>
    </row>
    <row r="821" spans="1:19" x14ac:dyDescent="0.3">
      <c r="A821" s="5">
        <v>44651</v>
      </c>
      <c r="B821" t="s">
        <v>61</v>
      </c>
      <c r="C821">
        <v>40068218</v>
      </c>
      <c r="D821">
        <v>22018430</v>
      </c>
      <c r="E821">
        <v>19085632</v>
      </c>
      <c r="F821">
        <v>2219859</v>
      </c>
      <c r="G821">
        <v>60908</v>
      </c>
      <c r="H821">
        <v>61867</v>
      </c>
      <c r="I821">
        <v>131.16999999999999</v>
      </c>
      <c r="J821">
        <v>72.08</v>
      </c>
      <c r="K821">
        <v>62.48</v>
      </c>
      <c r="L821">
        <v>7.27</v>
      </c>
      <c r="M821">
        <v>2025</v>
      </c>
      <c r="N821">
        <v>9932</v>
      </c>
      <c r="O821">
        <v>3.3000000000000002E-2</v>
      </c>
      <c r="P821">
        <v>35.299999999999997</v>
      </c>
      <c r="R821">
        <f t="shared" si="24"/>
        <v>9.6000000000000014</v>
      </c>
      <c r="S821" s="3">
        <f t="shared" si="25"/>
        <v>0.67280000000000006</v>
      </c>
    </row>
    <row r="822" spans="1:19" x14ac:dyDescent="0.3">
      <c r="A822" s="5">
        <v>44652</v>
      </c>
      <c r="B822" t="s">
        <v>61</v>
      </c>
      <c r="H822">
        <v>59581</v>
      </c>
      <c r="M822">
        <v>1950</v>
      </c>
      <c r="N822">
        <v>10620</v>
      </c>
      <c r="O822">
        <v>3.5000000000000003E-2</v>
      </c>
      <c r="P822">
        <v>35.299999999999997</v>
      </c>
      <c r="R822">
        <f t="shared" si="24"/>
        <v>0</v>
      </c>
      <c r="S822" s="3">
        <f t="shared" si="25"/>
        <v>0</v>
      </c>
    </row>
    <row r="823" spans="1:19" x14ac:dyDescent="0.3">
      <c r="A823" s="5">
        <v>44653</v>
      </c>
      <c r="B823" t="s">
        <v>61</v>
      </c>
      <c r="H823">
        <v>59664</v>
      </c>
      <c r="M823">
        <v>1953</v>
      </c>
      <c r="N823">
        <v>10675</v>
      </c>
      <c r="O823">
        <v>3.5000000000000003E-2</v>
      </c>
      <c r="P823">
        <v>35.299999999999997</v>
      </c>
      <c r="R823">
        <f t="shared" si="24"/>
        <v>0</v>
      </c>
      <c r="S823" s="3">
        <f t="shared" si="25"/>
        <v>0</v>
      </c>
    </row>
    <row r="824" spans="1:19" x14ac:dyDescent="0.3">
      <c r="A824" s="5">
        <v>44654</v>
      </c>
      <c r="B824" t="s">
        <v>61</v>
      </c>
      <c r="C824">
        <v>40219259</v>
      </c>
      <c r="D824">
        <v>22045735</v>
      </c>
      <c r="E824">
        <v>19165274</v>
      </c>
      <c r="F824">
        <v>2274497</v>
      </c>
      <c r="H824">
        <v>63163</v>
      </c>
      <c r="I824">
        <v>131.66</v>
      </c>
      <c r="J824">
        <v>72.17</v>
      </c>
      <c r="K824">
        <v>62.74</v>
      </c>
      <c r="L824">
        <v>7.45</v>
      </c>
      <c r="M824">
        <v>2068</v>
      </c>
      <c r="N824">
        <v>11390</v>
      </c>
      <c r="O824">
        <v>3.6999999999999998E-2</v>
      </c>
      <c r="P824">
        <v>35.26</v>
      </c>
      <c r="R824">
        <f t="shared" si="24"/>
        <v>9.43</v>
      </c>
      <c r="S824" s="3">
        <f t="shared" si="25"/>
        <v>0.67454999999999998</v>
      </c>
    </row>
    <row r="825" spans="1:19" x14ac:dyDescent="0.3">
      <c r="A825" s="5">
        <v>44655</v>
      </c>
      <c r="B825" t="s">
        <v>61</v>
      </c>
      <c r="C825">
        <v>40280829</v>
      </c>
      <c r="D825">
        <v>22053904</v>
      </c>
      <c r="E825">
        <v>19195930</v>
      </c>
      <c r="F825">
        <v>2299655</v>
      </c>
      <c r="G825">
        <v>61570</v>
      </c>
      <c r="H825">
        <v>56628</v>
      </c>
      <c r="I825">
        <v>131.86000000000001</v>
      </c>
      <c r="J825">
        <v>72.2</v>
      </c>
      <c r="K825">
        <v>62.84</v>
      </c>
      <c r="L825">
        <v>7.53</v>
      </c>
      <c r="M825">
        <v>1854</v>
      </c>
      <c r="N825">
        <v>9915</v>
      </c>
      <c r="O825">
        <v>3.2000000000000001E-2</v>
      </c>
      <c r="P825">
        <v>35.24</v>
      </c>
      <c r="R825">
        <f t="shared" si="24"/>
        <v>9.36</v>
      </c>
      <c r="S825" s="3">
        <f t="shared" si="25"/>
        <v>0.67520000000000013</v>
      </c>
    </row>
    <row r="826" spans="1:19" x14ac:dyDescent="0.3">
      <c r="A826" s="5">
        <v>44656</v>
      </c>
      <c r="B826" t="s">
        <v>61</v>
      </c>
      <c r="C826">
        <v>40298842</v>
      </c>
      <c r="D826">
        <v>22057932</v>
      </c>
      <c r="E826">
        <v>19207632</v>
      </c>
      <c r="F826">
        <v>2303669</v>
      </c>
      <c r="G826">
        <v>18013</v>
      </c>
      <c r="H826">
        <v>51896</v>
      </c>
      <c r="I826">
        <v>131.91999999999999</v>
      </c>
      <c r="J826">
        <v>72.209999999999994</v>
      </c>
      <c r="K826">
        <v>62.88</v>
      </c>
      <c r="L826">
        <v>7.54</v>
      </c>
      <c r="M826">
        <v>1699</v>
      </c>
      <c r="N826">
        <v>9028</v>
      </c>
      <c r="O826">
        <v>0.03</v>
      </c>
      <c r="P826">
        <v>35.229999999999997</v>
      </c>
      <c r="R826">
        <f t="shared" si="24"/>
        <v>9.3299999999999912</v>
      </c>
      <c r="S826" s="3">
        <f t="shared" si="25"/>
        <v>0.67544999999999999</v>
      </c>
    </row>
    <row r="827" spans="1:19" x14ac:dyDescent="0.3">
      <c r="A827" s="5">
        <v>44657</v>
      </c>
      <c r="B827" t="s">
        <v>61</v>
      </c>
      <c r="C827">
        <v>40356245</v>
      </c>
      <c r="D827">
        <v>22076596</v>
      </c>
      <c r="E827">
        <v>19230548</v>
      </c>
      <c r="F827">
        <v>2323899</v>
      </c>
      <c r="G827">
        <v>57403</v>
      </c>
      <c r="H827">
        <v>49848</v>
      </c>
      <c r="I827">
        <v>132.11000000000001</v>
      </c>
      <c r="J827">
        <v>72.27</v>
      </c>
      <c r="K827">
        <v>62.95</v>
      </c>
      <c r="L827">
        <v>7.61</v>
      </c>
      <c r="M827">
        <v>1632</v>
      </c>
      <c r="N827">
        <v>9621</v>
      </c>
      <c r="O827">
        <v>3.1E-2</v>
      </c>
      <c r="P827">
        <v>35.22</v>
      </c>
      <c r="R827">
        <f t="shared" si="24"/>
        <v>9.3199999999999932</v>
      </c>
      <c r="S827" s="3">
        <f t="shared" si="25"/>
        <v>0.67610000000000003</v>
      </c>
    </row>
    <row r="828" spans="1:19" x14ac:dyDescent="0.3">
      <c r="A828" s="5">
        <v>44658</v>
      </c>
      <c r="B828" t="s">
        <v>61</v>
      </c>
      <c r="C828">
        <v>40406877</v>
      </c>
      <c r="D828">
        <v>22083714</v>
      </c>
      <c r="E828">
        <v>19253884</v>
      </c>
      <c r="F828">
        <v>2347068</v>
      </c>
      <c r="G828">
        <v>50632</v>
      </c>
      <c r="H828">
        <v>48380</v>
      </c>
      <c r="I828">
        <v>132.28</v>
      </c>
      <c r="J828">
        <v>72.290000000000006</v>
      </c>
      <c r="K828">
        <v>63.03</v>
      </c>
      <c r="L828">
        <v>7.68</v>
      </c>
      <c r="M828">
        <v>1584</v>
      </c>
      <c r="N828">
        <v>9326</v>
      </c>
      <c r="O828">
        <v>3.1E-2</v>
      </c>
      <c r="P828">
        <v>35.21</v>
      </c>
      <c r="R828">
        <f t="shared" si="24"/>
        <v>9.2600000000000051</v>
      </c>
      <c r="S828" s="3">
        <f t="shared" si="25"/>
        <v>0.67659999999999998</v>
      </c>
    </row>
    <row r="829" spans="1:19" x14ac:dyDescent="0.3">
      <c r="A829" s="5">
        <v>44659</v>
      </c>
      <c r="B829" t="s">
        <v>61</v>
      </c>
      <c r="C829">
        <v>40433299</v>
      </c>
      <c r="D829">
        <v>22087147</v>
      </c>
      <c r="E829">
        <v>19263737</v>
      </c>
      <c r="F829">
        <v>2361795</v>
      </c>
      <c r="G829">
        <v>26422</v>
      </c>
      <c r="H829">
        <v>44962</v>
      </c>
      <c r="I829">
        <v>132.36000000000001</v>
      </c>
      <c r="J829">
        <v>72.3</v>
      </c>
      <c r="K829">
        <v>63.06</v>
      </c>
      <c r="L829">
        <v>7.73</v>
      </c>
      <c r="M829">
        <v>1472</v>
      </c>
      <c r="N829">
        <v>8516</v>
      </c>
      <c r="O829">
        <v>2.8000000000000001E-2</v>
      </c>
      <c r="P829">
        <v>35.200000000000003</v>
      </c>
      <c r="R829">
        <f t="shared" si="24"/>
        <v>9.2399999999999949</v>
      </c>
      <c r="S829" s="3">
        <f t="shared" si="25"/>
        <v>0.67680000000000007</v>
      </c>
    </row>
    <row r="830" spans="1:19" x14ac:dyDescent="0.3">
      <c r="A830" s="5">
        <v>44660</v>
      </c>
      <c r="B830" t="s">
        <v>61</v>
      </c>
      <c r="H830">
        <v>39331</v>
      </c>
      <c r="M830">
        <v>1288</v>
      </c>
      <c r="N830">
        <v>7638</v>
      </c>
      <c r="O830">
        <v>2.5000000000000001E-2</v>
      </c>
      <c r="P830">
        <v>35.200000000000003</v>
      </c>
      <c r="R830">
        <f t="shared" si="24"/>
        <v>0</v>
      </c>
      <c r="S830" s="3">
        <f t="shared" si="25"/>
        <v>0</v>
      </c>
    </row>
    <row r="831" spans="1:19" x14ac:dyDescent="0.3">
      <c r="A831" s="5">
        <v>44661</v>
      </c>
      <c r="B831" t="s">
        <v>61</v>
      </c>
      <c r="C831">
        <v>40455160</v>
      </c>
      <c r="D831">
        <v>22093046</v>
      </c>
      <c r="E831">
        <v>19277986</v>
      </c>
      <c r="F831">
        <v>2367964</v>
      </c>
      <c r="H831">
        <v>33700</v>
      </c>
      <c r="I831">
        <v>132.43</v>
      </c>
      <c r="J831">
        <v>72.319999999999993</v>
      </c>
      <c r="K831">
        <v>63.11</v>
      </c>
      <c r="L831">
        <v>7.75</v>
      </c>
      <c r="M831">
        <v>1103</v>
      </c>
      <c r="N831">
        <v>6759</v>
      </c>
      <c r="O831">
        <v>2.1999999999999999E-2</v>
      </c>
      <c r="P831">
        <v>35.19</v>
      </c>
      <c r="R831">
        <f t="shared" si="24"/>
        <v>9.2099999999999937</v>
      </c>
      <c r="S831" s="3">
        <f t="shared" si="25"/>
        <v>0.67715000000000003</v>
      </c>
    </row>
    <row r="832" spans="1:19" x14ac:dyDescent="0.3">
      <c r="A832" s="5">
        <v>44662</v>
      </c>
      <c r="B832" t="s">
        <v>61</v>
      </c>
      <c r="C832">
        <v>40470603</v>
      </c>
      <c r="D832">
        <v>22096856</v>
      </c>
      <c r="E832">
        <v>19288340</v>
      </c>
      <c r="F832">
        <v>2372732</v>
      </c>
      <c r="G832">
        <v>15443</v>
      </c>
      <c r="H832">
        <v>27111</v>
      </c>
      <c r="I832">
        <v>132.47999999999999</v>
      </c>
      <c r="J832">
        <v>72.34</v>
      </c>
      <c r="K832">
        <v>63.14</v>
      </c>
      <c r="L832">
        <v>7.77</v>
      </c>
      <c r="M832">
        <v>888</v>
      </c>
      <c r="N832">
        <v>6136</v>
      </c>
      <c r="O832">
        <v>0.02</v>
      </c>
      <c r="P832">
        <v>35.19</v>
      </c>
      <c r="R832">
        <f t="shared" si="24"/>
        <v>9.2000000000000028</v>
      </c>
      <c r="S832" s="3">
        <f t="shared" si="25"/>
        <v>0.67740000000000011</v>
      </c>
    </row>
    <row r="833" spans="1:19" x14ac:dyDescent="0.3">
      <c r="A833" s="5">
        <v>44663</v>
      </c>
      <c r="B833" t="s">
        <v>61</v>
      </c>
      <c r="C833">
        <v>40520242</v>
      </c>
      <c r="D833">
        <v>22106435</v>
      </c>
      <c r="E833">
        <v>19305700</v>
      </c>
      <c r="F833">
        <v>2398038</v>
      </c>
      <c r="G833">
        <v>49639</v>
      </c>
      <c r="H833">
        <v>31629</v>
      </c>
      <c r="I833">
        <v>132.65</v>
      </c>
      <c r="J833">
        <v>72.37</v>
      </c>
      <c r="K833">
        <v>63.2</v>
      </c>
      <c r="L833">
        <v>7.85</v>
      </c>
      <c r="M833">
        <v>1035</v>
      </c>
      <c r="N833">
        <v>6929</v>
      </c>
      <c r="O833">
        <v>2.3E-2</v>
      </c>
      <c r="P833">
        <v>35.18</v>
      </c>
      <c r="R833">
        <f t="shared" si="24"/>
        <v>9.1700000000000017</v>
      </c>
      <c r="S833" s="3">
        <f t="shared" si="25"/>
        <v>0.67784999999999995</v>
      </c>
    </row>
    <row r="834" spans="1:19" x14ac:dyDescent="0.3">
      <c r="A834" s="5">
        <v>44664</v>
      </c>
      <c r="B834" t="s">
        <v>61</v>
      </c>
      <c r="C834">
        <v>40577032</v>
      </c>
      <c r="D834">
        <v>22127166</v>
      </c>
      <c r="E834">
        <v>19336604</v>
      </c>
      <c r="F834">
        <v>2407975</v>
      </c>
      <c r="G834">
        <v>56790</v>
      </c>
      <c r="H834">
        <v>31541</v>
      </c>
      <c r="I834">
        <v>132.83000000000001</v>
      </c>
      <c r="J834">
        <v>72.44</v>
      </c>
      <c r="K834">
        <v>63.3</v>
      </c>
      <c r="L834">
        <v>7.88</v>
      </c>
      <c r="M834">
        <v>1033</v>
      </c>
      <c r="N834">
        <v>7224</v>
      </c>
      <c r="O834">
        <v>2.4E-2</v>
      </c>
      <c r="P834">
        <v>35.159999999999997</v>
      </c>
      <c r="R834">
        <f t="shared" si="24"/>
        <v>9.14</v>
      </c>
      <c r="S834" s="3">
        <f t="shared" si="25"/>
        <v>0.67870000000000008</v>
      </c>
    </row>
    <row r="835" spans="1:19" x14ac:dyDescent="0.3">
      <c r="A835" s="5">
        <v>44665</v>
      </c>
      <c r="B835" t="s">
        <v>61</v>
      </c>
      <c r="C835">
        <v>40638405</v>
      </c>
      <c r="D835">
        <v>22145663</v>
      </c>
      <c r="E835">
        <v>19359782</v>
      </c>
      <c r="F835">
        <v>2429736</v>
      </c>
      <c r="G835">
        <v>61373</v>
      </c>
      <c r="H835">
        <v>33075</v>
      </c>
      <c r="I835">
        <v>133.03</v>
      </c>
      <c r="J835">
        <v>72.5</v>
      </c>
      <c r="K835">
        <v>63.38</v>
      </c>
      <c r="L835">
        <v>7.95</v>
      </c>
      <c r="M835">
        <v>1083</v>
      </c>
      <c r="N835">
        <v>8850</v>
      </c>
      <c r="O835">
        <v>2.9000000000000001E-2</v>
      </c>
      <c r="P835">
        <v>35.15</v>
      </c>
      <c r="R835">
        <f t="shared" si="24"/>
        <v>9.1199999999999974</v>
      </c>
      <c r="S835" s="3">
        <f t="shared" si="25"/>
        <v>0.6794</v>
      </c>
    </row>
    <row r="836" spans="1:19" x14ac:dyDescent="0.3">
      <c r="A836" s="5">
        <v>44666</v>
      </c>
      <c r="B836" t="s">
        <v>61</v>
      </c>
      <c r="H836">
        <v>31485</v>
      </c>
      <c r="M836">
        <v>1031</v>
      </c>
      <c r="N836">
        <v>8671</v>
      </c>
      <c r="O836">
        <v>2.8000000000000001E-2</v>
      </c>
      <c r="P836">
        <v>35.15</v>
      </c>
      <c r="R836">
        <f t="shared" si="24"/>
        <v>0</v>
      </c>
      <c r="S836" s="3">
        <f t="shared" si="25"/>
        <v>0</v>
      </c>
    </row>
    <row r="837" spans="1:19" x14ac:dyDescent="0.3">
      <c r="A837" s="5">
        <v>44667</v>
      </c>
      <c r="B837" t="s">
        <v>61</v>
      </c>
      <c r="H837">
        <v>32108</v>
      </c>
      <c r="M837">
        <v>1051</v>
      </c>
      <c r="N837">
        <v>8560</v>
      </c>
      <c r="O837">
        <v>2.8000000000000001E-2</v>
      </c>
      <c r="P837">
        <v>35.15</v>
      </c>
      <c r="R837">
        <f t="shared" si="24"/>
        <v>0</v>
      </c>
      <c r="S837" s="3">
        <f t="shared" si="25"/>
        <v>0</v>
      </c>
    </row>
    <row r="838" spans="1:19" x14ac:dyDescent="0.3">
      <c r="A838" s="5">
        <v>44668</v>
      </c>
      <c r="B838" t="s">
        <v>61</v>
      </c>
      <c r="C838">
        <v>40684272</v>
      </c>
      <c r="D838">
        <v>22152198</v>
      </c>
      <c r="E838">
        <v>19375179</v>
      </c>
      <c r="F838">
        <v>2456236</v>
      </c>
      <c r="H838">
        <v>32730</v>
      </c>
      <c r="I838">
        <v>133.18</v>
      </c>
      <c r="J838">
        <v>72.52</v>
      </c>
      <c r="K838">
        <v>63.43</v>
      </c>
      <c r="L838">
        <v>8.0399999999999991</v>
      </c>
      <c r="M838">
        <v>1071</v>
      </c>
      <c r="N838">
        <v>8450</v>
      </c>
      <c r="O838">
        <v>2.8000000000000001E-2</v>
      </c>
      <c r="P838">
        <v>35.14</v>
      </c>
      <c r="R838">
        <f t="shared" ref="R838:R901" si="26">J838-K838</f>
        <v>9.0899999999999963</v>
      </c>
      <c r="S838" s="3">
        <f t="shared" ref="S838:S901" si="27">MIN(1, (0.5*MAX(R838,0) + 1*K838)/100 )</f>
        <v>0.67974999999999997</v>
      </c>
    </row>
    <row r="839" spans="1:19" x14ac:dyDescent="0.3">
      <c r="A839" s="5">
        <v>44669</v>
      </c>
      <c r="B839" t="s">
        <v>61</v>
      </c>
      <c r="C839">
        <v>40712323</v>
      </c>
      <c r="D839">
        <v>22156131</v>
      </c>
      <c r="E839">
        <v>19382176</v>
      </c>
      <c r="F839">
        <v>2474667</v>
      </c>
      <c r="G839">
        <v>28051</v>
      </c>
      <c r="H839">
        <v>34531</v>
      </c>
      <c r="I839">
        <v>133.28</v>
      </c>
      <c r="J839">
        <v>72.53</v>
      </c>
      <c r="K839">
        <v>63.45</v>
      </c>
      <c r="L839">
        <v>8.1</v>
      </c>
      <c r="M839">
        <v>1130</v>
      </c>
      <c r="N839">
        <v>8468</v>
      </c>
      <c r="O839">
        <v>2.8000000000000001E-2</v>
      </c>
      <c r="P839">
        <v>35.130000000000003</v>
      </c>
      <c r="R839">
        <f t="shared" si="26"/>
        <v>9.0799999999999983</v>
      </c>
      <c r="S839" s="3">
        <f t="shared" si="27"/>
        <v>0.67990000000000006</v>
      </c>
    </row>
    <row r="840" spans="1:19" x14ac:dyDescent="0.3">
      <c r="A840" s="5">
        <v>44670</v>
      </c>
      <c r="B840" t="s">
        <v>61</v>
      </c>
      <c r="C840">
        <v>40785144</v>
      </c>
      <c r="D840">
        <v>22160418</v>
      </c>
      <c r="E840">
        <v>19391162</v>
      </c>
      <c r="F840">
        <v>2535964</v>
      </c>
      <c r="G840">
        <v>72821</v>
      </c>
      <c r="H840">
        <v>37843</v>
      </c>
      <c r="I840">
        <v>133.51</v>
      </c>
      <c r="J840">
        <v>72.540000000000006</v>
      </c>
      <c r="K840">
        <v>63.48</v>
      </c>
      <c r="L840">
        <v>8.3000000000000007</v>
      </c>
      <c r="M840">
        <v>1239</v>
      </c>
      <c r="N840">
        <v>7712</v>
      </c>
      <c r="O840">
        <v>2.5000000000000001E-2</v>
      </c>
      <c r="P840">
        <v>35.130000000000003</v>
      </c>
      <c r="R840">
        <f t="shared" si="26"/>
        <v>9.0600000000000094</v>
      </c>
      <c r="S840" s="3">
        <f t="shared" si="27"/>
        <v>0.68010000000000004</v>
      </c>
    </row>
    <row r="841" spans="1:19" x14ac:dyDescent="0.3">
      <c r="A841" s="5">
        <v>44671</v>
      </c>
      <c r="B841" t="s">
        <v>61</v>
      </c>
      <c r="C841">
        <v>40862191</v>
      </c>
      <c r="D841">
        <v>22166767</v>
      </c>
      <c r="E841">
        <v>19405045</v>
      </c>
      <c r="F841">
        <v>2596126</v>
      </c>
      <c r="G841">
        <v>77047</v>
      </c>
      <c r="H841">
        <v>40737</v>
      </c>
      <c r="I841">
        <v>133.77000000000001</v>
      </c>
      <c r="J841">
        <v>72.56</v>
      </c>
      <c r="K841">
        <v>63.52</v>
      </c>
      <c r="L841">
        <v>8.5</v>
      </c>
      <c r="M841">
        <v>1334</v>
      </c>
      <c r="N841">
        <v>5657</v>
      </c>
      <c r="O841">
        <v>1.9E-2</v>
      </c>
      <c r="P841">
        <v>35.119999999999997</v>
      </c>
      <c r="R841">
        <f t="shared" si="26"/>
        <v>9.0399999999999991</v>
      </c>
      <c r="S841" s="3">
        <f t="shared" si="27"/>
        <v>0.68040000000000012</v>
      </c>
    </row>
    <row r="842" spans="1:19" x14ac:dyDescent="0.3">
      <c r="A842" s="5">
        <v>44672</v>
      </c>
      <c r="B842" t="s">
        <v>61</v>
      </c>
      <c r="C842">
        <v>40897919</v>
      </c>
      <c r="D842">
        <v>22170066</v>
      </c>
      <c r="E842">
        <v>19418684</v>
      </c>
      <c r="F842">
        <v>2616476</v>
      </c>
      <c r="G842">
        <v>35728</v>
      </c>
      <c r="H842">
        <v>37073</v>
      </c>
      <c r="I842">
        <v>133.88</v>
      </c>
      <c r="J842">
        <v>72.58</v>
      </c>
      <c r="K842">
        <v>63.57</v>
      </c>
      <c r="L842">
        <v>8.57</v>
      </c>
      <c r="M842">
        <v>1214</v>
      </c>
      <c r="N842">
        <v>3486</v>
      </c>
      <c r="O842">
        <v>1.0999999999999999E-2</v>
      </c>
      <c r="P842">
        <v>35.11</v>
      </c>
      <c r="R842">
        <f t="shared" si="26"/>
        <v>9.009999999999998</v>
      </c>
      <c r="S842" s="3">
        <f t="shared" si="27"/>
        <v>0.68075000000000008</v>
      </c>
    </row>
    <row r="843" spans="1:19" x14ac:dyDescent="0.3">
      <c r="A843" s="5">
        <v>44673</v>
      </c>
      <c r="B843" t="s">
        <v>61</v>
      </c>
      <c r="H843">
        <v>47594</v>
      </c>
      <c r="M843">
        <v>1558</v>
      </c>
      <c r="N843">
        <v>4259</v>
      </c>
      <c r="O843">
        <v>1.4E-2</v>
      </c>
      <c r="P843">
        <v>35.11</v>
      </c>
      <c r="R843">
        <f t="shared" si="26"/>
        <v>0</v>
      </c>
      <c r="S843" s="3">
        <f t="shared" si="27"/>
        <v>0</v>
      </c>
    </row>
    <row r="844" spans="1:19" x14ac:dyDescent="0.3">
      <c r="A844" s="5">
        <v>44674</v>
      </c>
      <c r="B844" t="s">
        <v>61</v>
      </c>
      <c r="C844">
        <v>41075782</v>
      </c>
      <c r="D844">
        <v>22185237</v>
      </c>
      <c r="E844">
        <v>19452877</v>
      </c>
      <c r="F844">
        <v>2751207</v>
      </c>
      <c r="H844">
        <v>58114</v>
      </c>
      <c r="I844">
        <v>134.46</v>
      </c>
      <c r="J844">
        <v>72.63</v>
      </c>
      <c r="K844">
        <v>63.68</v>
      </c>
      <c r="L844">
        <v>9.01</v>
      </c>
      <c r="M844">
        <v>1902</v>
      </c>
      <c r="N844">
        <v>5031</v>
      </c>
      <c r="O844">
        <v>1.6E-2</v>
      </c>
      <c r="P844">
        <v>35.090000000000003</v>
      </c>
      <c r="R844">
        <f t="shared" si="26"/>
        <v>8.9499999999999957</v>
      </c>
      <c r="S844" s="3">
        <f t="shared" si="27"/>
        <v>0.68154999999999999</v>
      </c>
    </row>
    <row r="845" spans="1:19" x14ac:dyDescent="0.3">
      <c r="A845" s="5">
        <v>44675</v>
      </c>
      <c r="B845" t="s">
        <v>61</v>
      </c>
      <c r="C845">
        <v>41123876</v>
      </c>
      <c r="D845">
        <v>22201664</v>
      </c>
      <c r="E845">
        <v>19479252</v>
      </c>
      <c r="F845">
        <v>2771166</v>
      </c>
      <c r="G845">
        <v>48094</v>
      </c>
      <c r="H845">
        <v>62801</v>
      </c>
      <c r="I845">
        <v>134.62</v>
      </c>
      <c r="J845">
        <v>72.680000000000007</v>
      </c>
      <c r="K845">
        <v>63.77</v>
      </c>
      <c r="L845">
        <v>9.07</v>
      </c>
      <c r="M845">
        <v>2056</v>
      </c>
      <c r="N845">
        <v>7067</v>
      </c>
      <c r="O845">
        <v>2.3E-2</v>
      </c>
      <c r="P845">
        <v>35.08</v>
      </c>
      <c r="R845">
        <f t="shared" si="26"/>
        <v>8.9100000000000037</v>
      </c>
      <c r="S845" s="3">
        <f t="shared" si="27"/>
        <v>0.68225000000000013</v>
      </c>
    </row>
    <row r="846" spans="1:19" x14ac:dyDescent="0.3">
      <c r="A846" s="5">
        <v>44676</v>
      </c>
      <c r="B846" t="s">
        <v>61</v>
      </c>
      <c r="C846">
        <v>41247086</v>
      </c>
      <c r="D846">
        <v>22206244</v>
      </c>
      <c r="E846">
        <v>19494453</v>
      </c>
      <c r="F846">
        <v>2877468</v>
      </c>
      <c r="G846">
        <v>123210</v>
      </c>
      <c r="H846">
        <v>76395</v>
      </c>
      <c r="I846">
        <v>135.03</v>
      </c>
      <c r="J846">
        <v>72.69</v>
      </c>
      <c r="K846">
        <v>63.82</v>
      </c>
      <c r="L846">
        <v>9.42</v>
      </c>
      <c r="M846">
        <v>2501</v>
      </c>
      <c r="N846">
        <v>7159</v>
      </c>
      <c r="O846">
        <v>2.3E-2</v>
      </c>
      <c r="P846">
        <v>35.07</v>
      </c>
      <c r="R846">
        <f t="shared" si="26"/>
        <v>8.8699999999999974</v>
      </c>
      <c r="S846" s="3">
        <f t="shared" si="27"/>
        <v>0.68254999999999999</v>
      </c>
    </row>
    <row r="847" spans="1:19" x14ac:dyDescent="0.3">
      <c r="A847" s="5">
        <v>44677</v>
      </c>
      <c r="B847" t="s">
        <v>61</v>
      </c>
      <c r="C847">
        <v>41333222</v>
      </c>
      <c r="D847">
        <v>22209916</v>
      </c>
      <c r="E847">
        <v>19506642</v>
      </c>
      <c r="F847">
        <v>2949694</v>
      </c>
      <c r="G847">
        <v>86136</v>
      </c>
      <c r="H847">
        <v>78297</v>
      </c>
      <c r="I847">
        <v>135.31</v>
      </c>
      <c r="J847">
        <v>72.709999999999994</v>
      </c>
      <c r="K847">
        <v>63.86</v>
      </c>
      <c r="L847">
        <v>9.66</v>
      </c>
      <c r="M847">
        <v>2563</v>
      </c>
      <c r="N847">
        <v>7071</v>
      </c>
      <c r="O847">
        <v>2.3E-2</v>
      </c>
      <c r="P847">
        <v>35.06</v>
      </c>
      <c r="R847">
        <f t="shared" si="26"/>
        <v>8.8499999999999943</v>
      </c>
      <c r="S847" s="3">
        <f t="shared" si="27"/>
        <v>0.68284999999999996</v>
      </c>
    </row>
    <row r="848" spans="1:19" x14ac:dyDescent="0.3">
      <c r="A848" s="5">
        <v>44678</v>
      </c>
      <c r="B848" t="s">
        <v>61</v>
      </c>
      <c r="C848">
        <v>41456812</v>
      </c>
      <c r="D848">
        <v>22224120</v>
      </c>
      <c r="E848">
        <v>19518925</v>
      </c>
      <c r="F848">
        <v>3049359</v>
      </c>
      <c r="G848">
        <v>123590</v>
      </c>
      <c r="H848">
        <v>84946</v>
      </c>
      <c r="I848">
        <v>135.71</v>
      </c>
      <c r="J848">
        <v>72.75</v>
      </c>
      <c r="K848">
        <v>63.9</v>
      </c>
      <c r="L848">
        <v>9.98</v>
      </c>
      <c r="M848">
        <v>2781</v>
      </c>
      <c r="N848">
        <v>8193</v>
      </c>
      <c r="O848">
        <v>2.7E-2</v>
      </c>
      <c r="P848">
        <v>35.049999999999997</v>
      </c>
      <c r="R848">
        <f t="shared" si="26"/>
        <v>8.8500000000000014</v>
      </c>
      <c r="S848" s="3">
        <f t="shared" si="27"/>
        <v>0.68325000000000002</v>
      </c>
    </row>
    <row r="849" spans="1:19" x14ac:dyDescent="0.3">
      <c r="A849" s="5">
        <v>44679</v>
      </c>
      <c r="B849" t="s">
        <v>61</v>
      </c>
      <c r="H849">
        <v>102099</v>
      </c>
      <c r="M849">
        <v>3342</v>
      </c>
      <c r="N849">
        <v>9875</v>
      </c>
      <c r="O849">
        <v>3.2000000000000001E-2</v>
      </c>
      <c r="P849">
        <v>35.049999999999997</v>
      </c>
      <c r="R849">
        <f t="shared" si="26"/>
        <v>0</v>
      </c>
      <c r="S849" s="3">
        <f t="shared" si="27"/>
        <v>0</v>
      </c>
    </row>
    <row r="850" spans="1:19" x14ac:dyDescent="0.3">
      <c r="A850" s="5">
        <v>44680</v>
      </c>
      <c r="B850" t="s">
        <v>61</v>
      </c>
      <c r="C850">
        <v>41768411</v>
      </c>
      <c r="D850">
        <v>22254268</v>
      </c>
      <c r="E850">
        <v>19574894</v>
      </c>
      <c r="F850">
        <v>3283764</v>
      </c>
      <c r="H850">
        <v>111652</v>
      </c>
      <c r="I850">
        <v>136.72999999999999</v>
      </c>
      <c r="J850">
        <v>72.849999999999994</v>
      </c>
      <c r="K850">
        <v>64.08</v>
      </c>
      <c r="L850">
        <v>10.75</v>
      </c>
      <c r="M850">
        <v>3655</v>
      </c>
      <c r="N850">
        <v>10945</v>
      </c>
      <c r="O850">
        <v>3.5999999999999997E-2</v>
      </c>
      <c r="P850">
        <v>35.020000000000003</v>
      </c>
      <c r="R850">
        <f t="shared" si="26"/>
        <v>8.769999999999996</v>
      </c>
      <c r="S850" s="3">
        <f t="shared" si="27"/>
        <v>0.68464999999999998</v>
      </c>
    </row>
    <row r="851" spans="1:19" x14ac:dyDescent="0.3">
      <c r="A851" s="5">
        <v>44681</v>
      </c>
      <c r="B851" t="s">
        <v>61</v>
      </c>
      <c r="C851">
        <v>41843057</v>
      </c>
      <c r="D851">
        <v>22261575</v>
      </c>
      <c r="E851">
        <v>19586196</v>
      </c>
      <c r="F851">
        <v>3340769</v>
      </c>
      <c r="G851">
        <v>74646</v>
      </c>
      <c r="H851">
        <v>109611</v>
      </c>
      <c r="I851">
        <v>136.97999999999999</v>
      </c>
      <c r="J851">
        <v>72.88</v>
      </c>
      <c r="K851">
        <v>64.12</v>
      </c>
      <c r="L851">
        <v>10.94</v>
      </c>
      <c r="M851">
        <v>3588</v>
      </c>
      <c r="N851">
        <v>10905</v>
      </c>
      <c r="O851">
        <v>3.5999999999999997E-2</v>
      </c>
      <c r="P851">
        <v>35.01</v>
      </c>
      <c r="R851">
        <f t="shared" si="26"/>
        <v>8.7599999999999909</v>
      </c>
      <c r="S851" s="3">
        <f t="shared" si="27"/>
        <v>0.68500000000000005</v>
      </c>
    </row>
    <row r="852" spans="1:19" x14ac:dyDescent="0.3">
      <c r="A852" s="5">
        <v>44682</v>
      </c>
      <c r="B852" t="s">
        <v>61</v>
      </c>
      <c r="C852">
        <v>41872631</v>
      </c>
      <c r="D852">
        <v>22263497</v>
      </c>
      <c r="E852">
        <v>19591350</v>
      </c>
      <c r="F852">
        <v>3364130</v>
      </c>
      <c r="G852">
        <v>29574</v>
      </c>
      <c r="H852">
        <v>106965</v>
      </c>
      <c r="I852">
        <v>137.07</v>
      </c>
      <c r="J852">
        <v>72.88</v>
      </c>
      <c r="K852">
        <v>64.13</v>
      </c>
      <c r="L852">
        <v>11.01</v>
      </c>
      <c r="M852">
        <v>3502</v>
      </c>
      <c r="N852">
        <v>8833</v>
      </c>
      <c r="O852">
        <v>2.9000000000000001E-2</v>
      </c>
      <c r="P852">
        <v>35.01</v>
      </c>
      <c r="R852">
        <f t="shared" si="26"/>
        <v>8.75</v>
      </c>
      <c r="S852" s="3">
        <f t="shared" si="27"/>
        <v>0.68504999999999994</v>
      </c>
    </row>
    <row r="853" spans="1:19" x14ac:dyDescent="0.3">
      <c r="A853" s="5">
        <v>44683</v>
      </c>
      <c r="B853" t="s">
        <v>61</v>
      </c>
      <c r="C853">
        <v>41888641</v>
      </c>
      <c r="D853">
        <v>22264477</v>
      </c>
      <c r="E853">
        <v>19596394</v>
      </c>
      <c r="F853">
        <v>3374858</v>
      </c>
      <c r="G853">
        <v>16010</v>
      </c>
      <c r="H853">
        <v>91651</v>
      </c>
      <c r="I853">
        <v>137.13</v>
      </c>
      <c r="J853">
        <v>72.88</v>
      </c>
      <c r="K853">
        <v>64.150000000000006</v>
      </c>
      <c r="L853">
        <v>11.05</v>
      </c>
      <c r="M853">
        <v>3000</v>
      </c>
      <c r="N853">
        <v>8319</v>
      </c>
      <c r="O853">
        <v>2.7E-2</v>
      </c>
      <c r="P853">
        <v>35.01</v>
      </c>
      <c r="R853">
        <f t="shared" si="26"/>
        <v>8.7299999999999898</v>
      </c>
      <c r="S853" s="3">
        <f t="shared" si="27"/>
        <v>0.68515000000000004</v>
      </c>
    </row>
    <row r="854" spans="1:19" x14ac:dyDescent="0.3">
      <c r="A854" s="5">
        <v>44684</v>
      </c>
      <c r="B854" t="s">
        <v>61</v>
      </c>
      <c r="C854">
        <v>41982187</v>
      </c>
      <c r="D854">
        <v>22271084</v>
      </c>
      <c r="E854">
        <v>19618901</v>
      </c>
      <c r="F854">
        <v>3442884</v>
      </c>
      <c r="G854">
        <v>93546</v>
      </c>
      <c r="H854">
        <v>92709</v>
      </c>
      <c r="I854">
        <v>137.43</v>
      </c>
      <c r="J854">
        <v>72.91</v>
      </c>
      <c r="K854">
        <v>64.22</v>
      </c>
      <c r="L854">
        <v>11.27</v>
      </c>
      <c r="M854">
        <v>3035</v>
      </c>
      <c r="N854">
        <v>8738</v>
      </c>
      <c r="O854">
        <v>2.9000000000000001E-2</v>
      </c>
      <c r="P854">
        <v>35</v>
      </c>
      <c r="R854">
        <f t="shared" si="26"/>
        <v>8.6899999999999977</v>
      </c>
      <c r="S854" s="3">
        <f t="shared" si="27"/>
        <v>0.68564999999999998</v>
      </c>
    </row>
    <row r="855" spans="1:19" x14ac:dyDescent="0.3">
      <c r="A855" s="5">
        <v>44685</v>
      </c>
      <c r="B855" t="s">
        <v>61</v>
      </c>
      <c r="C855">
        <v>42012843</v>
      </c>
      <c r="D855">
        <v>22273558</v>
      </c>
      <c r="E855">
        <v>19625334</v>
      </c>
      <c r="F855">
        <v>3465884</v>
      </c>
      <c r="G855">
        <v>30656</v>
      </c>
      <c r="H855">
        <v>79433</v>
      </c>
      <c r="I855">
        <v>137.53</v>
      </c>
      <c r="J855">
        <v>72.91</v>
      </c>
      <c r="K855">
        <v>64.25</v>
      </c>
      <c r="L855">
        <v>11.35</v>
      </c>
      <c r="M855">
        <v>2600</v>
      </c>
      <c r="N855">
        <v>7063</v>
      </c>
      <c r="O855">
        <v>2.3E-2</v>
      </c>
      <c r="P855">
        <v>34.99</v>
      </c>
      <c r="R855">
        <f t="shared" si="26"/>
        <v>8.6599999999999966</v>
      </c>
      <c r="S855" s="3">
        <f t="shared" si="27"/>
        <v>0.68579999999999997</v>
      </c>
    </row>
    <row r="856" spans="1:19" x14ac:dyDescent="0.3">
      <c r="A856" s="5">
        <v>44686</v>
      </c>
      <c r="B856" t="s">
        <v>61</v>
      </c>
      <c r="C856">
        <v>42104931</v>
      </c>
      <c r="D856">
        <v>22289710</v>
      </c>
      <c r="E856">
        <v>19640380</v>
      </c>
      <c r="F856">
        <v>3530533</v>
      </c>
      <c r="G856">
        <v>92088</v>
      </c>
      <c r="H856">
        <v>70331</v>
      </c>
      <c r="I856">
        <v>137.83000000000001</v>
      </c>
      <c r="J856">
        <v>72.97</v>
      </c>
      <c r="K856">
        <v>64.290000000000006</v>
      </c>
      <c r="L856">
        <v>11.56</v>
      </c>
      <c r="M856">
        <v>2302</v>
      </c>
      <c r="N856">
        <v>7217</v>
      </c>
      <c r="O856">
        <v>2.4E-2</v>
      </c>
      <c r="P856">
        <v>34.979999999999997</v>
      </c>
      <c r="R856">
        <f t="shared" si="26"/>
        <v>8.6799999999999926</v>
      </c>
      <c r="S856" s="3">
        <f t="shared" si="27"/>
        <v>0.68629999999999991</v>
      </c>
    </row>
    <row r="857" spans="1:19" x14ac:dyDescent="0.3">
      <c r="A857" s="5">
        <v>44687</v>
      </c>
      <c r="B857" t="s">
        <v>61</v>
      </c>
      <c r="C857">
        <v>42189552</v>
      </c>
      <c r="D857">
        <v>22295475</v>
      </c>
      <c r="E857">
        <v>19658950</v>
      </c>
      <c r="F857">
        <v>3593072</v>
      </c>
      <c r="G857">
        <v>84621</v>
      </c>
      <c r="H857">
        <v>60163</v>
      </c>
      <c r="I857">
        <v>138.11000000000001</v>
      </c>
      <c r="J857">
        <v>72.989999999999995</v>
      </c>
      <c r="K857">
        <v>64.36</v>
      </c>
      <c r="L857">
        <v>11.76</v>
      </c>
      <c r="M857">
        <v>1969</v>
      </c>
      <c r="N857">
        <v>5887</v>
      </c>
      <c r="O857">
        <v>1.9E-2</v>
      </c>
      <c r="P857">
        <v>34.97</v>
      </c>
      <c r="R857">
        <f t="shared" si="26"/>
        <v>8.6299999999999955</v>
      </c>
      <c r="S857" s="3">
        <f t="shared" si="27"/>
        <v>0.68674999999999997</v>
      </c>
    </row>
    <row r="858" spans="1:19" x14ac:dyDescent="0.3">
      <c r="A858" s="5">
        <v>44688</v>
      </c>
      <c r="B858" t="s">
        <v>61</v>
      </c>
      <c r="C858">
        <v>42259208</v>
      </c>
      <c r="D858">
        <v>22318684</v>
      </c>
      <c r="E858">
        <v>19685621</v>
      </c>
      <c r="F858">
        <v>3626245</v>
      </c>
      <c r="G858">
        <v>69656</v>
      </c>
      <c r="H858">
        <v>59450</v>
      </c>
      <c r="I858">
        <v>138.34</v>
      </c>
      <c r="J858">
        <v>73.06</v>
      </c>
      <c r="K858">
        <v>64.44</v>
      </c>
      <c r="L858">
        <v>11.87</v>
      </c>
      <c r="M858">
        <v>1946</v>
      </c>
      <c r="N858">
        <v>8158</v>
      </c>
      <c r="O858">
        <v>2.7E-2</v>
      </c>
      <c r="P858">
        <v>34.96</v>
      </c>
      <c r="R858">
        <f t="shared" si="26"/>
        <v>8.6200000000000045</v>
      </c>
      <c r="S858" s="3">
        <f t="shared" si="27"/>
        <v>0.6875</v>
      </c>
    </row>
    <row r="859" spans="1:19" x14ac:dyDescent="0.3">
      <c r="A859" s="5">
        <v>44689</v>
      </c>
      <c r="B859" t="s">
        <v>61</v>
      </c>
      <c r="C859">
        <v>42281314</v>
      </c>
      <c r="D859">
        <v>22323233</v>
      </c>
      <c r="E859">
        <v>19692303</v>
      </c>
      <c r="F859">
        <v>3638853</v>
      </c>
      <c r="G859">
        <v>22106</v>
      </c>
      <c r="H859">
        <v>58383</v>
      </c>
      <c r="I859">
        <v>138.41</v>
      </c>
      <c r="J859">
        <v>73.08</v>
      </c>
      <c r="K859">
        <v>64.459999999999994</v>
      </c>
      <c r="L859">
        <v>11.91</v>
      </c>
      <c r="M859">
        <v>1911</v>
      </c>
      <c r="N859">
        <v>8534</v>
      </c>
      <c r="O859">
        <v>2.8000000000000001E-2</v>
      </c>
      <c r="P859">
        <v>34.96</v>
      </c>
      <c r="R859">
        <f t="shared" si="26"/>
        <v>8.6200000000000045</v>
      </c>
      <c r="S859" s="3">
        <f t="shared" si="27"/>
        <v>0.68769999999999998</v>
      </c>
    </row>
    <row r="860" spans="1:19" x14ac:dyDescent="0.3">
      <c r="A860" s="5">
        <v>44690</v>
      </c>
      <c r="B860" t="s">
        <v>61</v>
      </c>
      <c r="C860">
        <v>42319673</v>
      </c>
      <c r="D860">
        <v>22326785</v>
      </c>
      <c r="E860">
        <v>19701003</v>
      </c>
      <c r="F860">
        <v>3665435</v>
      </c>
      <c r="G860">
        <v>38359</v>
      </c>
      <c r="H860">
        <v>61576</v>
      </c>
      <c r="I860">
        <v>138.54</v>
      </c>
      <c r="J860">
        <v>73.09</v>
      </c>
      <c r="K860">
        <v>64.489999999999995</v>
      </c>
      <c r="L860">
        <v>12</v>
      </c>
      <c r="M860">
        <v>2016</v>
      </c>
      <c r="N860">
        <v>8901</v>
      </c>
      <c r="O860">
        <v>2.9000000000000001E-2</v>
      </c>
      <c r="P860">
        <v>34.950000000000003</v>
      </c>
      <c r="R860">
        <f t="shared" si="26"/>
        <v>8.6000000000000085</v>
      </c>
      <c r="S860" s="3">
        <f t="shared" si="27"/>
        <v>0.68789999999999996</v>
      </c>
    </row>
    <row r="861" spans="1:19" x14ac:dyDescent="0.3">
      <c r="A861" s="5">
        <v>44691</v>
      </c>
      <c r="B861" t="s">
        <v>61</v>
      </c>
      <c r="C861">
        <v>42399815</v>
      </c>
      <c r="D861">
        <v>22344413</v>
      </c>
      <c r="E861">
        <v>19733893</v>
      </c>
      <c r="F861">
        <v>3695448</v>
      </c>
      <c r="G861">
        <v>80142</v>
      </c>
      <c r="H861">
        <v>59661</v>
      </c>
      <c r="I861">
        <v>138.80000000000001</v>
      </c>
      <c r="J861">
        <v>73.150000000000006</v>
      </c>
      <c r="K861">
        <v>64.599999999999994</v>
      </c>
      <c r="L861">
        <v>12.1</v>
      </c>
      <c r="M861">
        <v>1953</v>
      </c>
      <c r="N861">
        <v>10476</v>
      </c>
      <c r="O861">
        <v>3.4000000000000002E-2</v>
      </c>
      <c r="P861">
        <v>34.93</v>
      </c>
      <c r="R861">
        <f t="shared" si="26"/>
        <v>8.5500000000000114</v>
      </c>
      <c r="S861" s="3">
        <f t="shared" si="27"/>
        <v>0.68874999999999997</v>
      </c>
    </row>
    <row r="862" spans="1:19" x14ac:dyDescent="0.3">
      <c r="A862" s="5">
        <v>44692</v>
      </c>
      <c r="B862" t="s">
        <v>61</v>
      </c>
      <c r="C862">
        <v>42410820</v>
      </c>
      <c r="D862">
        <v>22344980</v>
      </c>
      <c r="E862">
        <v>19735153</v>
      </c>
      <c r="F862">
        <v>3704682</v>
      </c>
      <c r="G862">
        <v>11005</v>
      </c>
      <c r="H862">
        <v>56854</v>
      </c>
      <c r="I862">
        <v>138.84</v>
      </c>
      <c r="J862">
        <v>73.150000000000006</v>
      </c>
      <c r="K862">
        <v>64.599999999999994</v>
      </c>
      <c r="L862">
        <v>12.13</v>
      </c>
      <c r="M862">
        <v>1861</v>
      </c>
      <c r="N862">
        <v>10203</v>
      </c>
      <c r="O862">
        <v>3.3000000000000002E-2</v>
      </c>
      <c r="P862">
        <v>34.93</v>
      </c>
      <c r="R862">
        <f t="shared" si="26"/>
        <v>8.5500000000000114</v>
      </c>
      <c r="S862" s="3">
        <f t="shared" si="27"/>
        <v>0.68874999999999997</v>
      </c>
    </row>
    <row r="863" spans="1:19" x14ac:dyDescent="0.3">
      <c r="A863" s="5">
        <v>44693</v>
      </c>
      <c r="B863" t="s">
        <v>61</v>
      </c>
      <c r="C863">
        <v>42431999</v>
      </c>
      <c r="D863">
        <v>22346109</v>
      </c>
      <c r="E863">
        <v>19738517</v>
      </c>
      <c r="F863">
        <v>3721552</v>
      </c>
      <c r="G863">
        <v>21179</v>
      </c>
      <c r="H863">
        <v>46724</v>
      </c>
      <c r="I863">
        <v>138.9</v>
      </c>
      <c r="J863">
        <v>73.150000000000006</v>
      </c>
      <c r="K863">
        <v>64.62</v>
      </c>
      <c r="L863">
        <v>12.18</v>
      </c>
      <c r="M863">
        <v>1530</v>
      </c>
      <c r="N863">
        <v>8057</v>
      </c>
      <c r="O863">
        <v>2.5999999999999999E-2</v>
      </c>
      <c r="P863">
        <v>34.93</v>
      </c>
      <c r="R863">
        <f t="shared" si="26"/>
        <v>8.5300000000000011</v>
      </c>
      <c r="S863" s="3">
        <f t="shared" si="27"/>
        <v>0.68885000000000007</v>
      </c>
    </row>
    <row r="864" spans="1:19" x14ac:dyDescent="0.3">
      <c r="A864" s="5">
        <v>44694</v>
      </c>
      <c r="B864" t="s">
        <v>61</v>
      </c>
      <c r="H864">
        <v>35192</v>
      </c>
      <c r="M864">
        <v>1152</v>
      </c>
      <c r="N864">
        <v>7235</v>
      </c>
      <c r="O864">
        <v>2.4E-2</v>
      </c>
      <c r="P864">
        <v>34.93</v>
      </c>
      <c r="R864">
        <f t="shared" si="26"/>
        <v>0</v>
      </c>
      <c r="S864" s="3">
        <f t="shared" si="27"/>
        <v>0</v>
      </c>
    </row>
    <row r="865" spans="1:19" x14ac:dyDescent="0.3">
      <c r="A865" s="5">
        <v>44695</v>
      </c>
      <c r="B865" t="s">
        <v>61</v>
      </c>
      <c r="H865">
        <v>25798</v>
      </c>
      <c r="M865">
        <v>845</v>
      </c>
      <c r="N865">
        <v>3921</v>
      </c>
      <c r="O865">
        <v>1.2999999999999999E-2</v>
      </c>
      <c r="P865">
        <v>34.93</v>
      </c>
      <c r="R865">
        <f t="shared" si="26"/>
        <v>0</v>
      </c>
      <c r="S865" s="3">
        <f t="shared" si="27"/>
        <v>0</v>
      </c>
    </row>
    <row r="866" spans="1:19" x14ac:dyDescent="0.3">
      <c r="A866" s="5">
        <v>44696</v>
      </c>
      <c r="B866" t="s">
        <v>61</v>
      </c>
      <c r="C866">
        <v>42443691</v>
      </c>
      <c r="D866">
        <v>22346138</v>
      </c>
      <c r="E866">
        <v>19740770</v>
      </c>
      <c r="F866">
        <v>3730991</v>
      </c>
      <c r="H866">
        <v>23197</v>
      </c>
      <c r="I866">
        <v>138.94</v>
      </c>
      <c r="J866">
        <v>73.150000000000006</v>
      </c>
      <c r="K866">
        <v>64.62</v>
      </c>
      <c r="L866">
        <v>12.21</v>
      </c>
      <c r="M866">
        <v>759</v>
      </c>
      <c r="N866">
        <v>3272</v>
      </c>
      <c r="O866">
        <v>1.0999999999999999E-2</v>
      </c>
      <c r="P866">
        <v>34.93</v>
      </c>
      <c r="R866">
        <f t="shared" si="26"/>
        <v>8.5300000000000011</v>
      </c>
      <c r="S866" s="3">
        <f t="shared" si="27"/>
        <v>0.68885000000000007</v>
      </c>
    </row>
    <row r="867" spans="1:19" x14ac:dyDescent="0.3">
      <c r="A867" s="5">
        <v>44697</v>
      </c>
      <c r="B867" t="s">
        <v>61</v>
      </c>
      <c r="H867">
        <v>19424</v>
      </c>
      <c r="M867">
        <v>636</v>
      </c>
      <c r="N867">
        <v>2988</v>
      </c>
      <c r="O867">
        <v>0.01</v>
      </c>
      <c r="P867">
        <v>34.93</v>
      </c>
      <c r="R867">
        <f t="shared" si="26"/>
        <v>0</v>
      </c>
      <c r="S867" s="3">
        <f t="shared" si="27"/>
        <v>0</v>
      </c>
    </row>
    <row r="868" spans="1:19" x14ac:dyDescent="0.3">
      <c r="A868" s="5">
        <v>44698</v>
      </c>
      <c r="B868" t="s">
        <v>61</v>
      </c>
      <c r="H868">
        <v>9682</v>
      </c>
      <c r="M868">
        <v>317</v>
      </c>
      <c r="N868">
        <v>692</v>
      </c>
      <c r="O868">
        <v>2E-3</v>
      </c>
      <c r="P868">
        <v>34.93</v>
      </c>
      <c r="R868">
        <f t="shared" si="26"/>
        <v>0</v>
      </c>
      <c r="S868" s="3">
        <f t="shared" si="27"/>
        <v>0</v>
      </c>
    </row>
    <row r="869" spans="1:19" x14ac:dyDescent="0.3">
      <c r="A869" s="5">
        <v>44699</v>
      </c>
      <c r="B869" t="s">
        <v>61</v>
      </c>
      <c r="C869">
        <v>42479543</v>
      </c>
      <c r="D869">
        <v>22350819</v>
      </c>
      <c r="E869">
        <v>19747028</v>
      </c>
      <c r="F869">
        <v>3758085</v>
      </c>
      <c r="H869">
        <v>9818</v>
      </c>
      <c r="I869">
        <v>139.06</v>
      </c>
      <c r="J869">
        <v>73.17</v>
      </c>
      <c r="K869">
        <v>64.64</v>
      </c>
      <c r="L869">
        <v>12.3</v>
      </c>
      <c r="M869">
        <v>321</v>
      </c>
      <c r="N869">
        <v>834</v>
      </c>
      <c r="O869">
        <v>3.0000000000000001E-3</v>
      </c>
      <c r="P869">
        <v>34.92</v>
      </c>
      <c r="R869">
        <f t="shared" si="26"/>
        <v>8.5300000000000011</v>
      </c>
      <c r="S869" s="3">
        <f t="shared" si="27"/>
        <v>0.68905000000000005</v>
      </c>
    </row>
    <row r="870" spans="1:19" x14ac:dyDescent="0.3">
      <c r="A870" s="5">
        <v>44700</v>
      </c>
      <c r="B870" t="s">
        <v>61</v>
      </c>
      <c r="H870">
        <v>8223</v>
      </c>
      <c r="M870">
        <v>269</v>
      </c>
      <c r="N870">
        <v>778</v>
      </c>
      <c r="O870">
        <v>3.0000000000000001E-3</v>
      </c>
      <c r="P870">
        <v>34.92</v>
      </c>
      <c r="R870">
        <f t="shared" si="26"/>
        <v>0</v>
      </c>
      <c r="S870" s="3">
        <f t="shared" si="27"/>
        <v>0</v>
      </c>
    </row>
    <row r="871" spans="1:19" x14ac:dyDescent="0.3">
      <c r="A871" s="5">
        <v>44701</v>
      </c>
      <c r="B871" t="s">
        <v>61</v>
      </c>
      <c r="C871">
        <v>42499577</v>
      </c>
      <c r="D871">
        <v>22352285</v>
      </c>
      <c r="E871">
        <v>19750586</v>
      </c>
      <c r="F871">
        <v>3773437</v>
      </c>
      <c r="H871">
        <v>9097</v>
      </c>
      <c r="I871">
        <v>139.13</v>
      </c>
      <c r="J871">
        <v>73.17</v>
      </c>
      <c r="K871">
        <v>64.66</v>
      </c>
      <c r="L871">
        <v>12.35</v>
      </c>
      <c r="M871">
        <v>298</v>
      </c>
      <c r="N871">
        <v>881</v>
      </c>
      <c r="O871">
        <v>3.0000000000000001E-3</v>
      </c>
      <c r="P871">
        <v>34.92</v>
      </c>
      <c r="R871">
        <f t="shared" si="26"/>
        <v>8.5100000000000051</v>
      </c>
      <c r="S871" s="3">
        <f t="shared" si="27"/>
        <v>0.68914999999999993</v>
      </c>
    </row>
    <row r="872" spans="1:19" x14ac:dyDescent="0.3">
      <c r="A872" s="5">
        <v>44702</v>
      </c>
      <c r="B872" t="s">
        <v>61</v>
      </c>
      <c r="H872">
        <v>9776</v>
      </c>
      <c r="M872">
        <v>320</v>
      </c>
      <c r="N872">
        <v>958</v>
      </c>
      <c r="O872">
        <v>3.0000000000000001E-3</v>
      </c>
      <c r="P872">
        <v>34.92</v>
      </c>
      <c r="R872">
        <f t="shared" si="26"/>
        <v>0</v>
      </c>
      <c r="S872" s="3">
        <f t="shared" si="27"/>
        <v>0</v>
      </c>
    </row>
    <row r="873" spans="1:19" x14ac:dyDescent="0.3">
      <c r="A873" s="5">
        <v>44703</v>
      </c>
      <c r="B873" t="s">
        <v>61</v>
      </c>
      <c r="C873">
        <v>42516879</v>
      </c>
      <c r="D873">
        <v>22353385</v>
      </c>
      <c r="E873">
        <v>19751773</v>
      </c>
      <c r="F873">
        <v>3788666</v>
      </c>
      <c r="H873">
        <v>10455</v>
      </c>
      <c r="I873">
        <v>139.18</v>
      </c>
      <c r="J873">
        <v>73.180000000000007</v>
      </c>
      <c r="K873">
        <v>64.66</v>
      </c>
      <c r="L873">
        <v>12.4</v>
      </c>
      <c r="M873">
        <v>342</v>
      </c>
      <c r="N873">
        <v>1035</v>
      </c>
      <c r="O873">
        <v>3.0000000000000001E-3</v>
      </c>
      <c r="P873">
        <v>34.92</v>
      </c>
      <c r="R873">
        <f t="shared" si="26"/>
        <v>8.5200000000000102</v>
      </c>
      <c r="S873" s="3">
        <f t="shared" si="27"/>
        <v>0.68920000000000003</v>
      </c>
    </row>
    <row r="874" spans="1:19" x14ac:dyDescent="0.3">
      <c r="A874" s="5">
        <v>44704</v>
      </c>
      <c r="B874" t="s">
        <v>61</v>
      </c>
      <c r="C874">
        <v>42548267</v>
      </c>
      <c r="D874">
        <v>22354377</v>
      </c>
      <c r="E874">
        <v>19756501</v>
      </c>
      <c r="F874">
        <v>3814511</v>
      </c>
      <c r="G874">
        <v>31388</v>
      </c>
      <c r="H874">
        <v>13232</v>
      </c>
      <c r="I874">
        <v>139.29</v>
      </c>
      <c r="J874">
        <v>73.180000000000007</v>
      </c>
      <c r="K874">
        <v>64.67</v>
      </c>
      <c r="L874">
        <v>12.49</v>
      </c>
      <c r="M874">
        <v>433</v>
      </c>
      <c r="N874">
        <v>954</v>
      </c>
      <c r="O874">
        <v>3.0000000000000001E-3</v>
      </c>
      <c r="P874">
        <v>34.92</v>
      </c>
      <c r="R874">
        <f t="shared" si="26"/>
        <v>8.5100000000000051</v>
      </c>
      <c r="S874" s="3">
        <f t="shared" si="27"/>
        <v>0.68925000000000014</v>
      </c>
    </row>
    <row r="875" spans="1:19" x14ac:dyDescent="0.3">
      <c r="A875" s="5">
        <v>44705</v>
      </c>
      <c r="B875" t="s">
        <v>61</v>
      </c>
      <c r="C875">
        <v>42569157</v>
      </c>
      <c r="D875">
        <v>22355662</v>
      </c>
      <c r="E875">
        <v>19761502</v>
      </c>
      <c r="F875">
        <v>3829426</v>
      </c>
      <c r="G875">
        <v>20890</v>
      </c>
      <c r="H875">
        <v>14509</v>
      </c>
      <c r="I875">
        <v>139.35</v>
      </c>
      <c r="J875">
        <v>73.180000000000007</v>
      </c>
      <c r="K875">
        <v>64.69</v>
      </c>
      <c r="L875">
        <v>12.54</v>
      </c>
      <c r="M875">
        <v>475</v>
      </c>
      <c r="N875">
        <v>915</v>
      </c>
      <c r="O875">
        <v>3.0000000000000001E-3</v>
      </c>
      <c r="P875">
        <v>34.909999999999997</v>
      </c>
      <c r="R875">
        <f t="shared" si="26"/>
        <v>8.4900000000000091</v>
      </c>
      <c r="S875" s="3">
        <f t="shared" si="27"/>
        <v>0.68935000000000002</v>
      </c>
    </row>
    <row r="876" spans="1:19" x14ac:dyDescent="0.3">
      <c r="A876" s="5">
        <v>44706</v>
      </c>
      <c r="B876" t="s">
        <v>61</v>
      </c>
      <c r="C876">
        <v>42617136</v>
      </c>
      <c r="D876">
        <v>22358424</v>
      </c>
      <c r="E876">
        <v>19783597</v>
      </c>
      <c r="F876">
        <v>3854040</v>
      </c>
      <c r="G876">
        <v>47979</v>
      </c>
      <c r="H876">
        <v>19656</v>
      </c>
      <c r="I876">
        <v>139.51</v>
      </c>
      <c r="J876">
        <v>73.19</v>
      </c>
      <c r="K876">
        <v>64.760000000000005</v>
      </c>
      <c r="L876">
        <v>12.62</v>
      </c>
      <c r="M876">
        <v>643</v>
      </c>
      <c r="N876">
        <v>1086</v>
      </c>
      <c r="O876">
        <v>4.0000000000000001E-3</v>
      </c>
      <c r="P876">
        <v>34.9</v>
      </c>
      <c r="R876">
        <f t="shared" si="26"/>
        <v>8.4299999999999926</v>
      </c>
      <c r="S876" s="3">
        <f t="shared" si="27"/>
        <v>0.68974999999999997</v>
      </c>
    </row>
    <row r="877" spans="1:19" x14ac:dyDescent="0.3">
      <c r="A877" s="5">
        <v>44707</v>
      </c>
      <c r="B877" t="s">
        <v>61</v>
      </c>
      <c r="C877">
        <v>42680521</v>
      </c>
      <c r="D877">
        <v>22367391</v>
      </c>
      <c r="E877">
        <v>19796636</v>
      </c>
      <c r="F877">
        <v>3897655</v>
      </c>
      <c r="G877">
        <v>63385</v>
      </c>
      <c r="H877">
        <v>27280</v>
      </c>
      <c r="I877">
        <v>139.72</v>
      </c>
      <c r="J877">
        <v>73.22</v>
      </c>
      <c r="K877">
        <v>64.81</v>
      </c>
      <c r="L877">
        <v>12.76</v>
      </c>
      <c r="M877">
        <v>893</v>
      </c>
      <c r="N877">
        <v>2263</v>
      </c>
      <c r="O877">
        <v>7.0000000000000001E-3</v>
      </c>
      <c r="P877">
        <v>34.89</v>
      </c>
      <c r="R877">
        <f t="shared" si="26"/>
        <v>8.4099999999999966</v>
      </c>
      <c r="S877" s="3">
        <f t="shared" si="27"/>
        <v>0.69015000000000004</v>
      </c>
    </row>
    <row r="878" spans="1:19" x14ac:dyDescent="0.3">
      <c r="A878" s="5">
        <v>44708</v>
      </c>
      <c r="B878" t="s">
        <v>61</v>
      </c>
      <c r="C878">
        <v>42746702</v>
      </c>
      <c r="D878">
        <v>22370829</v>
      </c>
      <c r="E878">
        <v>19804863</v>
      </c>
      <c r="F878">
        <v>3952825</v>
      </c>
      <c r="G878">
        <v>66181</v>
      </c>
      <c r="H878">
        <v>35304</v>
      </c>
      <c r="I878">
        <v>139.93</v>
      </c>
      <c r="J878">
        <v>73.23</v>
      </c>
      <c r="K878">
        <v>64.83</v>
      </c>
      <c r="L878">
        <v>12.94</v>
      </c>
      <c r="M878">
        <v>1156</v>
      </c>
      <c r="N878">
        <v>2649</v>
      </c>
      <c r="O878">
        <v>8.9999999999999993E-3</v>
      </c>
      <c r="P878">
        <v>34.89</v>
      </c>
      <c r="R878">
        <f t="shared" si="26"/>
        <v>8.4000000000000057</v>
      </c>
      <c r="S878" s="3">
        <f t="shared" si="27"/>
        <v>0.69030000000000002</v>
      </c>
    </row>
    <row r="879" spans="1:19" x14ac:dyDescent="0.3">
      <c r="A879" s="5">
        <v>44709</v>
      </c>
      <c r="B879" t="s">
        <v>61</v>
      </c>
      <c r="C879">
        <v>42851236</v>
      </c>
      <c r="D879">
        <v>22378744</v>
      </c>
      <c r="E879">
        <v>19825343</v>
      </c>
      <c r="F879">
        <v>4029839</v>
      </c>
      <c r="G879">
        <v>104534</v>
      </c>
      <c r="H879">
        <v>49001</v>
      </c>
      <c r="I879">
        <v>140.28</v>
      </c>
      <c r="J879">
        <v>73.260000000000005</v>
      </c>
      <c r="K879">
        <v>64.900000000000006</v>
      </c>
      <c r="L879">
        <v>13.19</v>
      </c>
      <c r="M879">
        <v>1604</v>
      </c>
      <c r="N879">
        <v>3701</v>
      </c>
      <c r="O879">
        <v>1.2E-2</v>
      </c>
      <c r="P879">
        <v>34.880000000000003</v>
      </c>
      <c r="R879">
        <f t="shared" si="26"/>
        <v>8.36</v>
      </c>
      <c r="S879" s="3">
        <f t="shared" si="27"/>
        <v>0.69080000000000008</v>
      </c>
    </row>
    <row r="880" spans="1:19" x14ac:dyDescent="0.3">
      <c r="A880" s="5">
        <v>44710</v>
      </c>
      <c r="B880" t="s">
        <v>61</v>
      </c>
      <c r="C880">
        <v>42902927</v>
      </c>
      <c r="D880">
        <v>22380300</v>
      </c>
      <c r="E880">
        <v>19828687</v>
      </c>
      <c r="F880">
        <v>4076754</v>
      </c>
      <c r="G880">
        <v>51691</v>
      </c>
      <c r="H880">
        <v>55150</v>
      </c>
      <c r="I880">
        <v>140.44999999999999</v>
      </c>
      <c r="J880">
        <v>73.260000000000005</v>
      </c>
      <c r="K880">
        <v>64.91</v>
      </c>
      <c r="L880">
        <v>13.35</v>
      </c>
      <c r="M880">
        <v>1805</v>
      </c>
      <c r="N880">
        <v>3845</v>
      </c>
      <c r="O880">
        <v>1.2999999999999999E-2</v>
      </c>
      <c r="P880">
        <v>34.880000000000003</v>
      </c>
      <c r="R880">
        <f t="shared" si="26"/>
        <v>8.3500000000000085</v>
      </c>
      <c r="S880" s="3">
        <f t="shared" si="27"/>
        <v>0.69085000000000008</v>
      </c>
    </row>
    <row r="881" spans="1:19" x14ac:dyDescent="0.3">
      <c r="A881" s="5">
        <v>44711</v>
      </c>
      <c r="B881" t="s">
        <v>61</v>
      </c>
      <c r="C881">
        <v>42916756</v>
      </c>
      <c r="D881">
        <v>22381118</v>
      </c>
      <c r="E881">
        <v>19831322</v>
      </c>
      <c r="F881">
        <v>4087310</v>
      </c>
      <c r="G881">
        <v>13829</v>
      </c>
      <c r="H881">
        <v>52641</v>
      </c>
      <c r="I881">
        <v>140.49</v>
      </c>
      <c r="J881">
        <v>73.27</v>
      </c>
      <c r="K881">
        <v>64.92</v>
      </c>
      <c r="L881">
        <v>13.38</v>
      </c>
      <c r="M881">
        <v>1723</v>
      </c>
      <c r="N881">
        <v>3820</v>
      </c>
      <c r="O881">
        <v>1.2999999999999999E-2</v>
      </c>
      <c r="P881">
        <v>34.869999999999997</v>
      </c>
      <c r="R881">
        <f t="shared" si="26"/>
        <v>8.3499999999999943</v>
      </c>
      <c r="S881" s="3">
        <f t="shared" si="27"/>
        <v>0.69094999999999995</v>
      </c>
    </row>
    <row r="882" spans="1:19" x14ac:dyDescent="0.3">
      <c r="A882" s="5">
        <v>44712</v>
      </c>
      <c r="B882" t="s">
        <v>61</v>
      </c>
      <c r="H882">
        <v>71354</v>
      </c>
      <c r="M882">
        <v>2336</v>
      </c>
      <c r="N882">
        <v>5555</v>
      </c>
      <c r="O882">
        <v>1.7999999999999999E-2</v>
      </c>
      <c r="P882">
        <v>34.869999999999997</v>
      </c>
      <c r="R882">
        <f t="shared" si="26"/>
        <v>0</v>
      </c>
      <c r="S882" s="3">
        <f t="shared" si="27"/>
        <v>0</v>
      </c>
    </row>
    <row r="883" spans="1:19" x14ac:dyDescent="0.3">
      <c r="A883" s="5">
        <v>44713</v>
      </c>
      <c r="B883" t="s">
        <v>61</v>
      </c>
      <c r="C883">
        <v>43220513</v>
      </c>
      <c r="D883">
        <v>22407979</v>
      </c>
      <c r="E883">
        <v>19872193</v>
      </c>
      <c r="F883">
        <v>4330091</v>
      </c>
      <c r="H883">
        <v>86197</v>
      </c>
      <c r="I883">
        <v>141.49</v>
      </c>
      <c r="J883">
        <v>73.349999999999994</v>
      </c>
      <c r="K883">
        <v>65.05</v>
      </c>
      <c r="L883">
        <v>14.17</v>
      </c>
      <c r="M883">
        <v>2822</v>
      </c>
      <c r="N883">
        <v>7079</v>
      </c>
      <c r="O883">
        <v>2.3E-2</v>
      </c>
      <c r="P883">
        <v>34.85</v>
      </c>
      <c r="R883">
        <f t="shared" si="26"/>
        <v>8.2999999999999972</v>
      </c>
      <c r="S883" s="3">
        <f t="shared" si="27"/>
        <v>0.69199999999999984</v>
      </c>
    </row>
    <row r="884" spans="1:19" x14ac:dyDescent="0.3">
      <c r="A884" s="5">
        <v>44714</v>
      </c>
      <c r="B884" t="s">
        <v>61</v>
      </c>
      <c r="C884">
        <v>43364095</v>
      </c>
      <c r="D884">
        <v>22413482</v>
      </c>
      <c r="E884">
        <v>19885258</v>
      </c>
      <c r="F884">
        <v>4456127</v>
      </c>
      <c r="G884">
        <v>143582</v>
      </c>
      <c r="H884">
        <v>97653</v>
      </c>
      <c r="I884">
        <v>141.96</v>
      </c>
      <c r="J884">
        <v>73.37</v>
      </c>
      <c r="K884">
        <v>65.099999999999994</v>
      </c>
      <c r="L884">
        <v>14.59</v>
      </c>
      <c r="M884">
        <v>3197</v>
      </c>
      <c r="N884">
        <v>6584</v>
      </c>
      <c r="O884">
        <v>2.1999999999999999E-2</v>
      </c>
      <c r="P884">
        <v>34.840000000000003</v>
      </c>
      <c r="R884">
        <f t="shared" si="26"/>
        <v>8.2700000000000102</v>
      </c>
      <c r="S884" s="3">
        <f t="shared" si="27"/>
        <v>0.69235000000000002</v>
      </c>
    </row>
    <row r="885" spans="1:19" x14ac:dyDescent="0.3">
      <c r="A885" s="5">
        <v>44715</v>
      </c>
      <c r="B885" t="s">
        <v>61</v>
      </c>
      <c r="C885">
        <v>43446508</v>
      </c>
      <c r="D885">
        <v>22425004</v>
      </c>
      <c r="E885">
        <v>19902055</v>
      </c>
      <c r="F885">
        <v>4515114</v>
      </c>
      <c r="G885">
        <v>82413</v>
      </c>
      <c r="H885">
        <v>99972</v>
      </c>
      <c r="I885">
        <v>142.22999999999999</v>
      </c>
      <c r="J885">
        <v>73.41</v>
      </c>
      <c r="K885">
        <v>65.150000000000006</v>
      </c>
      <c r="L885">
        <v>14.78</v>
      </c>
      <c r="M885">
        <v>3273</v>
      </c>
      <c r="N885">
        <v>7739</v>
      </c>
      <c r="O885">
        <v>2.5000000000000001E-2</v>
      </c>
      <c r="P885">
        <v>34.83</v>
      </c>
      <c r="R885">
        <f t="shared" si="26"/>
        <v>8.2599999999999909</v>
      </c>
      <c r="S885" s="3">
        <f t="shared" si="27"/>
        <v>0.69279999999999997</v>
      </c>
    </row>
    <row r="886" spans="1:19" x14ac:dyDescent="0.3">
      <c r="A886" s="5">
        <v>44716</v>
      </c>
      <c r="B886" t="s">
        <v>61</v>
      </c>
      <c r="C886">
        <v>43631029</v>
      </c>
      <c r="D886">
        <v>22435566</v>
      </c>
      <c r="E886">
        <v>19917125</v>
      </c>
      <c r="F886">
        <v>4675687</v>
      </c>
      <c r="G886">
        <v>184521</v>
      </c>
      <c r="H886">
        <v>111399</v>
      </c>
      <c r="I886">
        <v>142.83000000000001</v>
      </c>
      <c r="J886">
        <v>73.44</v>
      </c>
      <c r="K886">
        <v>65.2</v>
      </c>
      <c r="L886">
        <v>15.31</v>
      </c>
      <c r="M886">
        <v>3647</v>
      </c>
      <c r="N886">
        <v>8117</v>
      </c>
      <c r="O886">
        <v>2.7E-2</v>
      </c>
      <c r="P886">
        <v>34.82</v>
      </c>
      <c r="R886">
        <f t="shared" si="26"/>
        <v>8.2399999999999949</v>
      </c>
      <c r="S886" s="3">
        <f t="shared" si="27"/>
        <v>0.69319999999999993</v>
      </c>
    </row>
    <row r="887" spans="1:19" x14ac:dyDescent="0.3">
      <c r="A887" s="5">
        <v>44717</v>
      </c>
      <c r="B887" t="s">
        <v>61</v>
      </c>
      <c r="C887">
        <v>43643002</v>
      </c>
      <c r="D887">
        <v>22436638</v>
      </c>
      <c r="E887">
        <v>19919340</v>
      </c>
      <c r="F887">
        <v>4684745</v>
      </c>
      <c r="G887">
        <v>11973</v>
      </c>
      <c r="H887">
        <v>105725</v>
      </c>
      <c r="I887">
        <v>142.87</v>
      </c>
      <c r="J887">
        <v>73.45</v>
      </c>
      <c r="K887">
        <v>65.209999999999994</v>
      </c>
      <c r="L887">
        <v>15.34</v>
      </c>
      <c r="M887">
        <v>3461</v>
      </c>
      <c r="N887">
        <v>8048</v>
      </c>
      <c r="O887">
        <v>2.5999999999999999E-2</v>
      </c>
      <c r="P887">
        <v>34.82</v>
      </c>
      <c r="R887">
        <f t="shared" si="26"/>
        <v>8.2400000000000091</v>
      </c>
      <c r="S887" s="3">
        <f t="shared" si="27"/>
        <v>0.69330000000000003</v>
      </c>
    </row>
    <row r="888" spans="1:19" x14ac:dyDescent="0.3">
      <c r="A888" s="5">
        <v>44718</v>
      </c>
      <c r="B888" t="s">
        <v>61</v>
      </c>
      <c r="C888">
        <v>43743276</v>
      </c>
      <c r="D888">
        <v>22441717</v>
      </c>
      <c r="E888">
        <v>19926930</v>
      </c>
      <c r="F888">
        <v>4773150</v>
      </c>
      <c r="G888">
        <v>100274</v>
      </c>
      <c r="H888">
        <v>118074</v>
      </c>
      <c r="I888">
        <v>143.19999999999999</v>
      </c>
      <c r="J888">
        <v>73.459999999999994</v>
      </c>
      <c r="K888">
        <v>65.23</v>
      </c>
      <c r="L888">
        <v>15.63</v>
      </c>
      <c r="M888">
        <v>3865</v>
      </c>
      <c r="N888">
        <v>8657</v>
      </c>
      <c r="O888">
        <v>2.8000000000000001E-2</v>
      </c>
      <c r="P888">
        <v>34.82</v>
      </c>
      <c r="R888">
        <f t="shared" si="26"/>
        <v>8.2299999999999898</v>
      </c>
      <c r="S888" s="3">
        <f t="shared" si="27"/>
        <v>0.69345000000000001</v>
      </c>
    </row>
    <row r="889" spans="1:19" x14ac:dyDescent="0.3">
      <c r="A889" s="5">
        <v>44719</v>
      </c>
      <c r="B889" t="s">
        <v>61</v>
      </c>
      <c r="C889">
        <v>43852068</v>
      </c>
      <c r="D889">
        <v>22447580</v>
      </c>
      <c r="E889">
        <v>19939784</v>
      </c>
      <c r="F889">
        <v>4864530</v>
      </c>
      <c r="G889">
        <v>108792</v>
      </c>
      <c r="H889">
        <v>111919</v>
      </c>
      <c r="I889">
        <v>143.55000000000001</v>
      </c>
      <c r="J889">
        <v>73.48</v>
      </c>
      <c r="K889">
        <v>65.27</v>
      </c>
      <c r="L889">
        <v>15.92</v>
      </c>
      <c r="M889">
        <v>3664</v>
      </c>
      <c r="N889">
        <v>7576</v>
      </c>
      <c r="O889">
        <v>2.5000000000000001E-2</v>
      </c>
      <c r="P889">
        <v>34.81</v>
      </c>
      <c r="R889">
        <f t="shared" si="26"/>
        <v>8.210000000000008</v>
      </c>
      <c r="S889" s="3">
        <f t="shared" si="27"/>
        <v>0.69374999999999998</v>
      </c>
    </row>
    <row r="890" spans="1:19" x14ac:dyDescent="0.3">
      <c r="A890" s="5">
        <v>44720</v>
      </c>
      <c r="B890" t="s">
        <v>61</v>
      </c>
      <c r="C890">
        <v>43968451</v>
      </c>
      <c r="D890">
        <v>22452894</v>
      </c>
      <c r="E890">
        <v>19953304</v>
      </c>
      <c r="F890">
        <v>4963420</v>
      </c>
      <c r="G890">
        <v>116383</v>
      </c>
      <c r="H890">
        <v>106848</v>
      </c>
      <c r="I890">
        <v>143.93</v>
      </c>
      <c r="J890">
        <v>73.5</v>
      </c>
      <c r="K890">
        <v>65.319999999999993</v>
      </c>
      <c r="L890">
        <v>16.25</v>
      </c>
      <c r="M890">
        <v>3498</v>
      </c>
      <c r="N890">
        <v>6416</v>
      </c>
      <c r="O890">
        <v>2.1000000000000001E-2</v>
      </c>
      <c r="P890">
        <v>34.799999999999997</v>
      </c>
      <c r="R890">
        <f t="shared" si="26"/>
        <v>8.1800000000000068</v>
      </c>
      <c r="S890" s="3">
        <f t="shared" si="27"/>
        <v>0.69409999999999994</v>
      </c>
    </row>
    <row r="891" spans="1:19" x14ac:dyDescent="0.3">
      <c r="A891" s="5">
        <v>44721</v>
      </c>
      <c r="B891" t="s">
        <v>61</v>
      </c>
      <c r="C891">
        <v>44085568</v>
      </c>
      <c r="D891">
        <v>22458729</v>
      </c>
      <c r="E891">
        <v>19969662</v>
      </c>
      <c r="F891">
        <v>5058965</v>
      </c>
      <c r="G891">
        <v>117117</v>
      </c>
      <c r="H891">
        <v>103068</v>
      </c>
      <c r="I891">
        <v>144.32</v>
      </c>
      <c r="J891">
        <v>73.52</v>
      </c>
      <c r="K891">
        <v>65.37</v>
      </c>
      <c r="L891">
        <v>16.559999999999999</v>
      </c>
      <c r="M891">
        <v>3374</v>
      </c>
      <c r="N891">
        <v>6464</v>
      </c>
      <c r="O891">
        <v>2.1000000000000001E-2</v>
      </c>
      <c r="P891">
        <v>34.79</v>
      </c>
      <c r="R891">
        <f t="shared" si="26"/>
        <v>8.1499999999999915</v>
      </c>
      <c r="S891" s="3">
        <f t="shared" si="27"/>
        <v>0.6944499999999999</v>
      </c>
    </row>
    <row r="892" spans="1:19" x14ac:dyDescent="0.3">
      <c r="A892" s="5">
        <v>44722</v>
      </c>
      <c r="B892" t="s">
        <v>61</v>
      </c>
      <c r="C892">
        <v>44166069</v>
      </c>
      <c r="D892">
        <v>22462593</v>
      </c>
      <c r="E892">
        <v>19976900</v>
      </c>
      <c r="F892">
        <v>5129232</v>
      </c>
      <c r="G892">
        <v>80501</v>
      </c>
      <c r="H892">
        <v>102794</v>
      </c>
      <c r="I892">
        <v>144.58000000000001</v>
      </c>
      <c r="J892">
        <v>73.53</v>
      </c>
      <c r="K892">
        <v>65.400000000000006</v>
      </c>
      <c r="L892">
        <v>16.79</v>
      </c>
      <c r="M892">
        <v>3365</v>
      </c>
      <c r="N892">
        <v>5370</v>
      </c>
      <c r="O892">
        <v>1.7999999999999999E-2</v>
      </c>
      <c r="P892">
        <v>34.79</v>
      </c>
      <c r="R892">
        <f t="shared" si="26"/>
        <v>8.1299999999999955</v>
      </c>
      <c r="S892" s="3">
        <f t="shared" si="27"/>
        <v>0.69464999999999999</v>
      </c>
    </row>
    <row r="893" spans="1:19" x14ac:dyDescent="0.3">
      <c r="A893" s="5">
        <v>44723</v>
      </c>
      <c r="B893" t="s">
        <v>61</v>
      </c>
      <c r="C893">
        <v>44247981</v>
      </c>
      <c r="D893">
        <v>22465417</v>
      </c>
      <c r="E893">
        <v>19981665</v>
      </c>
      <c r="F893">
        <v>5204193</v>
      </c>
      <c r="G893">
        <v>81912</v>
      </c>
      <c r="H893">
        <v>88136</v>
      </c>
      <c r="I893">
        <v>144.85</v>
      </c>
      <c r="J893">
        <v>73.540000000000006</v>
      </c>
      <c r="K893">
        <v>65.41</v>
      </c>
      <c r="L893">
        <v>17.04</v>
      </c>
      <c r="M893">
        <v>2885</v>
      </c>
      <c r="N893">
        <v>4264</v>
      </c>
      <c r="O893">
        <v>1.4E-2</v>
      </c>
      <c r="P893">
        <v>34.79</v>
      </c>
      <c r="R893">
        <f t="shared" si="26"/>
        <v>8.1300000000000097</v>
      </c>
      <c r="S893" s="3">
        <f t="shared" si="27"/>
        <v>0.69474999999999998</v>
      </c>
    </row>
    <row r="894" spans="1:19" x14ac:dyDescent="0.3">
      <c r="A894" s="5">
        <v>44724</v>
      </c>
      <c r="B894" t="s">
        <v>61</v>
      </c>
      <c r="H894">
        <v>104802</v>
      </c>
      <c r="M894">
        <v>3431</v>
      </c>
      <c r="N894">
        <v>4624</v>
      </c>
      <c r="O894">
        <v>1.4999999999999999E-2</v>
      </c>
      <c r="P894">
        <v>34.79</v>
      </c>
      <c r="R894">
        <f t="shared" si="26"/>
        <v>0</v>
      </c>
      <c r="S894" s="3">
        <f t="shared" si="27"/>
        <v>0</v>
      </c>
    </row>
    <row r="895" spans="1:19" x14ac:dyDescent="0.3">
      <c r="A895" s="5">
        <v>44725</v>
      </c>
      <c r="B895" t="s">
        <v>61</v>
      </c>
      <c r="H895">
        <v>108854</v>
      </c>
      <c r="M895">
        <v>3563</v>
      </c>
      <c r="N895">
        <v>4411</v>
      </c>
      <c r="O895">
        <v>1.4E-2</v>
      </c>
      <c r="P895">
        <v>34.79</v>
      </c>
      <c r="R895">
        <f t="shared" si="26"/>
        <v>0</v>
      </c>
      <c r="S895" s="3">
        <f t="shared" si="27"/>
        <v>0</v>
      </c>
    </row>
    <row r="896" spans="1:19" x14ac:dyDescent="0.3">
      <c r="A896" s="5">
        <v>44726</v>
      </c>
      <c r="B896" t="s">
        <v>61</v>
      </c>
      <c r="C896">
        <v>44633887</v>
      </c>
      <c r="D896">
        <v>22476182</v>
      </c>
      <c r="E896">
        <v>19997583</v>
      </c>
      <c r="F896">
        <v>5567194</v>
      </c>
      <c r="H896">
        <v>111688</v>
      </c>
      <c r="I896">
        <v>146.11000000000001</v>
      </c>
      <c r="J896">
        <v>73.58</v>
      </c>
      <c r="K896">
        <v>65.459999999999994</v>
      </c>
      <c r="L896">
        <v>18.22</v>
      </c>
      <c r="M896">
        <v>3656</v>
      </c>
      <c r="N896">
        <v>4086</v>
      </c>
      <c r="O896">
        <v>1.2999999999999999E-2</v>
      </c>
      <c r="P896">
        <v>34.78</v>
      </c>
      <c r="R896">
        <f t="shared" si="26"/>
        <v>8.1200000000000045</v>
      </c>
      <c r="S896" s="3">
        <f t="shared" si="27"/>
        <v>0.69519999999999993</v>
      </c>
    </row>
    <row r="897" spans="1:19" x14ac:dyDescent="0.3">
      <c r="A897" s="5">
        <v>44727</v>
      </c>
      <c r="B897" t="s">
        <v>61</v>
      </c>
      <c r="C897">
        <v>44802104</v>
      </c>
      <c r="D897">
        <v>22492202</v>
      </c>
      <c r="E897">
        <v>20027781</v>
      </c>
      <c r="F897">
        <v>5692302</v>
      </c>
      <c r="G897">
        <v>168217</v>
      </c>
      <c r="H897">
        <v>119093</v>
      </c>
      <c r="I897">
        <v>146.66</v>
      </c>
      <c r="J897">
        <v>73.63</v>
      </c>
      <c r="K897">
        <v>65.56</v>
      </c>
      <c r="L897">
        <v>18.63</v>
      </c>
      <c r="M897">
        <v>3899</v>
      </c>
      <c r="N897">
        <v>5615</v>
      </c>
      <c r="O897">
        <v>1.7999999999999999E-2</v>
      </c>
      <c r="P897">
        <v>34.76</v>
      </c>
      <c r="R897">
        <f t="shared" si="26"/>
        <v>8.0699999999999932</v>
      </c>
      <c r="S897" s="3">
        <f t="shared" si="27"/>
        <v>0.69594999999999996</v>
      </c>
    </row>
    <row r="898" spans="1:19" x14ac:dyDescent="0.3">
      <c r="A898" s="5">
        <v>44728</v>
      </c>
      <c r="B898" t="s">
        <v>61</v>
      </c>
      <c r="C898">
        <v>44905237</v>
      </c>
      <c r="D898">
        <v>22517204</v>
      </c>
      <c r="E898">
        <v>20054777</v>
      </c>
      <c r="F898">
        <v>5745991</v>
      </c>
      <c r="G898">
        <v>103133</v>
      </c>
      <c r="H898">
        <v>117096</v>
      </c>
      <c r="I898">
        <v>147</v>
      </c>
      <c r="J898">
        <v>73.709999999999994</v>
      </c>
      <c r="K898">
        <v>65.650000000000006</v>
      </c>
      <c r="L898">
        <v>18.809999999999999</v>
      </c>
      <c r="M898">
        <v>3833</v>
      </c>
      <c r="N898">
        <v>8354</v>
      </c>
      <c r="O898">
        <v>2.7E-2</v>
      </c>
      <c r="P898">
        <v>34.75</v>
      </c>
      <c r="R898">
        <f t="shared" si="26"/>
        <v>8.0599999999999881</v>
      </c>
      <c r="S898" s="3">
        <f t="shared" si="27"/>
        <v>0.69680000000000009</v>
      </c>
    </row>
    <row r="899" spans="1:19" x14ac:dyDescent="0.3">
      <c r="A899" s="5">
        <v>44729</v>
      </c>
      <c r="B899" t="s">
        <v>61</v>
      </c>
      <c r="C899">
        <v>45057574</v>
      </c>
      <c r="D899">
        <v>22571837</v>
      </c>
      <c r="E899">
        <v>20090817</v>
      </c>
      <c r="F899">
        <v>5827235</v>
      </c>
      <c r="G899">
        <v>152337</v>
      </c>
      <c r="H899">
        <v>127358</v>
      </c>
      <c r="I899">
        <v>147.5</v>
      </c>
      <c r="J899">
        <v>73.89</v>
      </c>
      <c r="K899">
        <v>65.77</v>
      </c>
      <c r="L899">
        <v>19.079999999999998</v>
      </c>
      <c r="M899">
        <v>4169</v>
      </c>
      <c r="N899">
        <v>15606</v>
      </c>
      <c r="O899">
        <v>5.0999999999999997E-2</v>
      </c>
      <c r="P899">
        <v>34.72</v>
      </c>
      <c r="R899">
        <f t="shared" si="26"/>
        <v>8.1200000000000045</v>
      </c>
      <c r="S899" s="3">
        <f t="shared" si="27"/>
        <v>0.69830000000000003</v>
      </c>
    </row>
    <row r="900" spans="1:19" x14ac:dyDescent="0.3">
      <c r="A900" s="5">
        <v>44730</v>
      </c>
      <c r="B900" t="s">
        <v>61</v>
      </c>
      <c r="C900">
        <v>45122852</v>
      </c>
      <c r="D900">
        <v>22578546</v>
      </c>
      <c r="E900">
        <v>20107569</v>
      </c>
      <c r="F900">
        <v>5870095</v>
      </c>
      <c r="G900">
        <v>65278</v>
      </c>
      <c r="H900">
        <v>124982</v>
      </c>
      <c r="I900">
        <v>147.71</v>
      </c>
      <c r="J900">
        <v>73.91</v>
      </c>
      <c r="K900">
        <v>65.819999999999993</v>
      </c>
      <c r="L900">
        <v>19.22</v>
      </c>
      <c r="M900">
        <v>4091</v>
      </c>
      <c r="N900">
        <v>16161</v>
      </c>
      <c r="O900">
        <v>5.2999999999999999E-2</v>
      </c>
      <c r="P900">
        <v>34.72</v>
      </c>
      <c r="R900">
        <f t="shared" si="26"/>
        <v>8.0900000000000034</v>
      </c>
      <c r="S900" s="3">
        <f t="shared" si="27"/>
        <v>0.69864999999999999</v>
      </c>
    </row>
    <row r="901" spans="1:19" x14ac:dyDescent="0.3">
      <c r="A901" s="5">
        <v>44731</v>
      </c>
      <c r="B901" t="s">
        <v>61</v>
      </c>
      <c r="C901">
        <v>45175161</v>
      </c>
      <c r="D901">
        <v>22581229</v>
      </c>
      <c r="E901">
        <v>20112984</v>
      </c>
      <c r="F901">
        <v>5914332</v>
      </c>
      <c r="G901">
        <v>52309</v>
      </c>
      <c r="H901">
        <v>114078</v>
      </c>
      <c r="I901">
        <v>147.88</v>
      </c>
      <c r="J901">
        <v>73.92</v>
      </c>
      <c r="K901">
        <v>65.84</v>
      </c>
      <c r="L901">
        <v>19.36</v>
      </c>
      <c r="M901">
        <v>3734</v>
      </c>
      <c r="N901">
        <v>16032</v>
      </c>
      <c r="O901">
        <v>5.1999999999999998E-2</v>
      </c>
      <c r="P901">
        <v>34.71</v>
      </c>
      <c r="R901">
        <f t="shared" si="26"/>
        <v>8.0799999999999983</v>
      </c>
      <c r="S901" s="3">
        <f t="shared" si="27"/>
        <v>0.69879999999999998</v>
      </c>
    </row>
    <row r="902" spans="1:19" x14ac:dyDescent="0.3">
      <c r="A902" s="5">
        <v>44732</v>
      </c>
      <c r="B902" t="s">
        <v>61</v>
      </c>
      <c r="D902">
        <v>22587603</v>
      </c>
      <c r="E902">
        <v>20123223</v>
      </c>
      <c r="F902">
        <v>6045699</v>
      </c>
      <c r="H902">
        <v>111477</v>
      </c>
      <c r="J902">
        <v>73.94</v>
      </c>
      <c r="K902">
        <v>65.88</v>
      </c>
      <c r="L902">
        <v>19.79</v>
      </c>
      <c r="M902">
        <v>3649</v>
      </c>
      <c r="N902">
        <v>16430</v>
      </c>
      <c r="O902">
        <v>5.3999999999999999E-2</v>
      </c>
      <c r="P902">
        <v>34.71</v>
      </c>
      <c r="R902">
        <f t="shared" ref="R902:R965" si="28">J902-K902</f>
        <v>8.0600000000000023</v>
      </c>
      <c r="S902" s="3">
        <f t="shared" ref="S902:S965" si="29">MIN(1, (0.5*MAX(R902,0) + 1*K902)/100 )</f>
        <v>0.69909999999999994</v>
      </c>
    </row>
    <row r="903" spans="1:19" x14ac:dyDescent="0.3">
      <c r="A903" s="5">
        <v>44733</v>
      </c>
      <c r="B903" t="s">
        <v>61</v>
      </c>
      <c r="C903">
        <v>45396016</v>
      </c>
      <c r="D903">
        <v>22594126</v>
      </c>
      <c r="E903">
        <v>20151061</v>
      </c>
      <c r="F903">
        <v>6085076</v>
      </c>
      <c r="H903">
        <v>108876</v>
      </c>
      <c r="I903">
        <v>148.61000000000001</v>
      </c>
      <c r="J903">
        <v>73.959999999999994</v>
      </c>
      <c r="K903">
        <v>65.97</v>
      </c>
      <c r="L903">
        <v>19.920000000000002</v>
      </c>
      <c r="M903">
        <v>3564</v>
      </c>
      <c r="N903">
        <v>16849</v>
      </c>
      <c r="O903">
        <v>5.5E-2</v>
      </c>
      <c r="P903">
        <v>34.69</v>
      </c>
      <c r="R903">
        <f t="shared" si="28"/>
        <v>7.9899999999999949</v>
      </c>
      <c r="S903" s="3">
        <f t="shared" si="29"/>
        <v>0.69964999999999999</v>
      </c>
    </row>
    <row r="904" spans="1:19" x14ac:dyDescent="0.3">
      <c r="A904" s="5">
        <v>44734</v>
      </c>
      <c r="B904" t="s">
        <v>61</v>
      </c>
      <c r="C904">
        <v>45498949</v>
      </c>
      <c r="D904">
        <v>22628015</v>
      </c>
      <c r="E904">
        <v>20187733</v>
      </c>
      <c r="F904">
        <v>6128122</v>
      </c>
      <c r="G904">
        <v>102933</v>
      </c>
      <c r="H904">
        <v>99549</v>
      </c>
      <c r="I904">
        <v>148.94</v>
      </c>
      <c r="J904">
        <v>74.069999999999993</v>
      </c>
      <c r="K904">
        <v>66.09</v>
      </c>
      <c r="L904">
        <v>20.059999999999999</v>
      </c>
      <c r="M904">
        <v>3259</v>
      </c>
      <c r="N904">
        <v>19402</v>
      </c>
      <c r="O904">
        <v>6.4000000000000001E-2</v>
      </c>
      <c r="P904">
        <v>34.67</v>
      </c>
      <c r="R904">
        <f t="shared" si="28"/>
        <v>7.9799999999999898</v>
      </c>
      <c r="S904" s="3">
        <f t="shared" si="29"/>
        <v>0.70079999999999998</v>
      </c>
    </row>
    <row r="905" spans="1:19" x14ac:dyDescent="0.3">
      <c r="A905" s="5">
        <v>44735</v>
      </c>
      <c r="B905" t="s">
        <v>61</v>
      </c>
      <c r="C905">
        <v>45584606</v>
      </c>
      <c r="D905">
        <v>22649277</v>
      </c>
      <c r="E905">
        <v>20196496</v>
      </c>
      <c r="F905">
        <v>6184109</v>
      </c>
      <c r="G905">
        <v>85657</v>
      </c>
      <c r="H905">
        <v>97053</v>
      </c>
      <c r="I905">
        <v>149.22</v>
      </c>
      <c r="J905">
        <v>74.14</v>
      </c>
      <c r="K905">
        <v>66.11</v>
      </c>
      <c r="L905">
        <v>20.239999999999998</v>
      </c>
      <c r="M905">
        <v>3177</v>
      </c>
      <c r="N905">
        <v>18868</v>
      </c>
      <c r="O905">
        <v>6.2E-2</v>
      </c>
      <c r="P905">
        <v>34.659999999999997</v>
      </c>
      <c r="R905">
        <f t="shared" si="28"/>
        <v>8.0300000000000011</v>
      </c>
      <c r="S905" s="3">
        <f t="shared" si="29"/>
        <v>0.70125000000000004</v>
      </c>
    </row>
    <row r="906" spans="1:19" x14ac:dyDescent="0.3">
      <c r="A906" s="5">
        <v>44736</v>
      </c>
      <c r="B906" t="s">
        <v>61</v>
      </c>
      <c r="C906">
        <v>45734667</v>
      </c>
      <c r="D906">
        <v>22710320</v>
      </c>
      <c r="E906">
        <v>20229212</v>
      </c>
      <c r="F906">
        <v>6242325</v>
      </c>
      <c r="G906">
        <v>150061</v>
      </c>
      <c r="H906">
        <v>96728</v>
      </c>
      <c r="I906">
        <v>149.72</v>
      </c>
      <c r="J906">
        <v>74.34</v>
      </c>
      <c r="K906">
        <v>66.22</v>
      </c>
      <c r="L906">
        <v>20.43</v>
      </c>
      <c r="M906">
        <v>3166</v>
      </c>
      <c r="N906">
        <v>19783</v>
      </c>
      <c r="O906">
        <v>6.5000000000000002E-2</v>
      </c>
      <c r="P906">
        <v>34.65</v>
      </c>
      <c r="R906">
        <f t="shared" si="28"/>
        <v>8.1200000000000045</v>
      </c>
      <c r="S906" s="3">
        <f t="shared" si="29"/>
        <v>0.70279999999999998</v>
      </c>
    </row>
    <row r="907" spans="1:19" x14ac:dyDescent="0.3">
      <c r="A907" s="5">
        <v>44737</v>
      </c>
      <c r="B907" t="s">
        <v>61</v>
      </c>
      <c r="C907">
        <v>45791355</v>
      </c>
      <c r="D907">
        <v>22758672</v>
      </c>
      <c r="E907">
        <v>20235863</v>
      </c>
      <c r="F907">
        <v>6245732</v>
      </c>
      <c r="G907">
        <v>56688</v>
      </c>
      <c r="H907">
        <v>95500</v>
      </c>
      <c r="I907">
        <v>149.9</v>
      </c>
      <c r="J907">
        <v>74.5</v>
      </c>
      <c r="K907">
        <v>66.239999999999995</v>
      </c>
      <c r="L907">
        <v>20.45</v>
      </c>
      <c r="M907">
        <v>3126</v>
      </c>
      <c r="N907">
        <v>25732</v>
      </c>
      <c r="O907">
        <v>8.4000000000000005E-2</v>
      </c>
      <c r="P907">
        <v>34.64</v>
      </c>
      <c r="R907">
        <f t="shared" si="28"/>
        <v>8.2600000000000051</v>
      </c>
      <c r="S907" s="3">
        <f t="shared" si="29"/>
        <v>0.70369999999999999</v>
      </c>
    </row>
    <row r="908" spans="1:19" x14ac:dyDescent="0.3">
      <c r="A908" s="5">
        <v>44738</v>
      </c>
      <c r="B908" t="s">
        <v>61</v>
      </c>
      <c r="C908">
        <v>45849079</v>
      </c>
      <c r="D908">
        <v>22810898</v>
      </c>
      <c r="E908">
        <v>20237066</v>
      </c>
      <c r="F908">
        <v>6250027</v>
      </c>
      <c r="G908">
        <v>57724</v>
      </c>
      <c r="H908">
        <v>96274</v>
      </c>
      <c r="I908">
        <v>150.09</v>
      </c>
      <c r="J908">
        <v>74.67</v>
      </c>
      <c r="K908">
        <v>66.25</v>
      </c>
      <c r="L908">
        <v>20.46</v>
      </c>
      <c r="M908">
        <v>3152</v>
      </c>
      <c r="N908">
        <v>32810</v>
      </c>
      <c r="O908">
        <v>0.107</v>
      </c>
      <c r="P908">
        <v>34.64</v>
      </c>
      <c r="R908">
        <f t="shared" si="28"/>
        <v>8.4200000000000017</v>
      </c>
      <c r="S908" s="3">
        <f t="shared" si="29"/>
        <v>0.70460000000000012</v>
      </c>
    </row>
    <row r="909" spans="1:19" x14ac:dyDescent="0.3">
      <c r="A909" s="5">
        <v>44739</v>
      </c>
      <c r="B909" t="s">
        <v>61</v>
      </c>
      <c r="C909">
        <v>45976871</v>
      </c>
      <c r="D909">
        <v>22899642</v>
      </c>
      <c r="E909">
        <v>20249513</v>
      </c>
      <c r="F909">
        <v>6277763</v>
      </c>
      <c r="G909">
        <v>127792</v>
      </c>
      <c r="H909">
        <v>98755</v>
      </c>
      <c r="I909">
        <v>150.51</v>
      </c>
      <c r="J909">
        <v>74.959999999999994</v>
      </c>
      <c r="K909">
        <v>66.290000000000006</v>
      </c>
      <c r="L909">
        <v>20.55</v>
      </c>
      <c r="M909">
        <v>3233</v>
      </c>
      <c r="N909">
        <v>44577</v>
      </c>
      <c r="O909">
        <v>0.14599999999999999</v>
      </c>
      <c r="P909">
        <v>34.630000000000003</v>
      </c>
      <c r="R909">
        <f t="shared" si="28"/>
        <v>8.6699999999999875</v>
      </c>
      <c r="S909" s="3">
        <f t="shared" si="29"/>
        <v>0.70625000000000004</v>
      </c>
    </row>
    <row r="910" spans="1:19" x14ac:dyDescent="0.3">
      <c r="A910" s="5">
        <v>44740</v>
      </c>
      <c r="B910" t="s">
        <v>61</v>
      </c>
      <c r="C910">
        <v>46113867</v>
      </c>
      <c r="D910">
        <v>22995709</v>
      </c>
      <c r="E910">
        <v>20267818</v>
      </c>
      <c r="F910">
        <v>6300646</v>
      </c>
      <c r="G910">
        <v>136996</v>
      </c>
      <c r="H910">
        <v>102550</v>
      </c>
      <c r="I910">
        <v>150.96</v>
      </c>
      <c r="J910">
        <v>75.28</v>
      </c>
      <c r="K910">
        <v>66.349999999999994</v>
      </c>
      <c r="L910">
        <v>20.63</v>
      </c>
      <c r="M910">
        <v>3357</v>
      </c>
      <c r="N910">
        <v>57369</v>
      </c>
      <c r="O910">
        <v>0.188</v>
      </c>
      <c r="P910">
        <v>34.619999999999997</v>
      </c>
      <c r="R910">
        <f t="shared" si="28"/>
        <v>8.9300000000000068</v>
      </c>
      <c r="S910" s="3">
        <f t="shared" si="29"/>
        <v>0.70814999999999995</v>
      </c>
    </row>
    <row r="911" spans="1:19" x14ac:dyDescent="0.3">
      <c r="A911" s="5">
        <v>44741</v>
      </c>
      <c r="B911" t="s">
        <v>61</v>
      </c>
      <c r="H911">
        <v>105832</v>
      </c>
      <c r="M911">
        <v>3464</v>
      </c>
      <c r="N911">
        <v>62662</v>
      </c>
      <c r="O911">
        <v>0.20499999999999999</v>
      </c>
      <c r="P911">
        <v>34.619999999999997</v>
      </c>
      <c r="R911">
        <f t="shared" si="28"/>
        <v>0</v>
      </c>
      <c r="S911" s="3">
        <f t="shared" si="29"/>
        <v>0</v>
      </c>
    </row>
    <row r="912" spans="1:19" x14ac:dyDescent="0.3">
      <c r="A912" s="5">
        <v>44742</v>
      </c>
      <c r="B912" t="s">
        <v>61</v>
      </c>
      <c r="H912">
        <v>111583</v>
      </c>
      <c r="M912">
        <v>3653</v>
      </c>
      <c r="N912">
        <v>69759</v>
      </c>
      <c r="O912">
        <v>0.22800000000000001</v>
      </c>
      <c r="P912">
        <v>34.619999999999997</v>
      </c>
      <c r="R912">
        <f t="shared" si="28"/>
        <v>0</v>
      </c>
      <c r="S912" s="3">
        <f t="shared" si="29"/>
        <v>0</v>
      </c>
    </row>
    <row r="913" spans="1:19" x14ac:dyDescent="0.3">
      <c r="A913" s="5">
        <v>44743</v>
      </c>
      <c r="B913" t="s">
        <v>61</v>
      </c>
      <c r="H913">
        <v>108132</v>
      </c>
      <c r="M913">
        <v>3540</v>
      </c>
      <c r="N913">
        <v>71173</v>
      </c>
      <c r="O913">
        <v>0.23300000000000001</v>
      </c>
      <c r="P913">
        <v>34.619999999999997</v>
      </c>
      <c r="R913">
        <f t="shared" si="28"/>
        <v>0</v>
      </c>
      <c r="S913" s="3">
        <f t="shared" si="29"/>
        <v>0</v>
      </c>
    </row>
    <row r="914" spans="1:19" x14ac:dyDescent="0.3">
      <c r="A914" s="5">
        <v>44744</v>
      </c>
      <c r="B914" t="s">
        <v>61</v>
      </c>
      <c r="H914">
        <v>118021</v>
      </c>
      <c r="M914">
        <v>3864</v>
      </c>
      <c r="N914">
        <v>74400</v>
      </c>
      <c r="O914">
        <v>0.24399999999999999</v>
      </c>
      <c r="P914">
        <v>34.619999999999997</v>
      </c>
      <c r="R914">
        <f t="shared" si="28"/>
        <v>0</v>
      </c>
      <c r="S914" s="3">
        <f t="shared" si="29"/>
        <v>0</v>
      </c>
    </row>
    <row r="915" spans="1:19" x14ac:dyDescent="0.3">
      <c r="A915" s="5">
        <v>44745</v>
      </c>
      <c r="B915" t="s">
        <v>61</v>
      </c>
      <c r="C915">
        <v>46743409</v>
      </c>
      <c r="D915">
        <v>23350416</v>
      </c>
      <c r="E915">
        <v>20352238</v>
      </c>
      <c r="F915">
        <v>6497323</v>
      </c>
      <c r="H915">
        <v>127761</v>
      </c>
      <c r="I915">
        <v>153.02000000000001</v>
      </c>
      <c r="J915">
        <v>76.44</v>
      </c>
      <c r="K915">
        <v>66.62</v>
      </c>
      <c r="L915">
        <v>21.27</v>
      </c>
      <c r="M915">
        <v>4182</v>
      </c>
      <c r="N915">
        <v>77074</v>
      </c>
      <c r="O915">
        <v>0.252</v>
      </c>
      <c r="P915">
        <v>34.57</v>
      </c>
      <c r="R915">
        <f t="shared" si="28"/>
        <v>9.8199999999999932</v>
      </c>
      <c r="S915" s="3">
        <f t="shared" si="29"/>
        <v>0.71530000000000005</v>
      </c>
    </row>
    <row r="916" spans="1:19" x14ac:dyDescent="0.3">
      <c r="A916" s="5">
        <v>44746</v>
      </c>
      <c r="B916" t="s">
        <v>61</v>
      </c>
      <c r="C916">
        <v>46888075</v>
      </c>
      <c r="D916">
        <v>23433211</v>
      </c>
      <c r="E916">
        <v>20359274</v>
      </c>
      <c r="F916">
        <v>6552610</v>
      </c>
      <c r="G916">
        <v>144666</v>
      </c>
      <c r="H916">
        <v>130172</v>
      </c>
      <c r="I916">
        <v>153.49</v>
      </c>
      <c r="J916">
        <v>76.709999999999994</v>
      </c>
      <c r="K916">
        <v>66.650000000000006</v>
      </c>
      <c r="L916">
        <v>21.45</v>
      </c>
      <c r="M916">
        <v>4261</v>
      </c>
      <c r="N916">
        <v>76224</v>
      </c>
      <c r="O916">
        <v>0.25</v>
      </c>
      <c r="P916">
        <v>34.57</v>
      </c>
      <c r="R916">
        <f t="shared" si="28"/>
        <v>10.059999999999988</v>
      </c>
      <c r="S916" s="3">
        <f t="shared" si="29"/>
        <v>0.7168000000000001</v>
      </c>
    </row>
    <row r="917" spans="1:19" x14ac:dyDescent="0.3">
      <c r="A917" s="5">
        <v>44747</v>
      </c>
      <c r="B917" t="s">
        <v>61</v>
      </c>
      <c r="H917">
        <v>191659</v>
      </c>
      <c r="M917">
        <v>6274</v>
      </c>
      <c r="N917">
        <v>68951</v>
      </c>
      <c r="O917">
        <v>0.22600000000000001</v>
      </c>
      <c r="P917">
        <v>34.57</v>
      </c>
      <c r="R917">
        <f t="shared" si="28"/>
        <v>0</v>
      </c>
      <c r="S917" s="3">
        <f t="shared" si="29"/>
        <v>0</v>
      </c>
    </row>
    <row r="918" spans="1:19" x14ac:dyDescent="0.3">
      <c r="A918" s="5">
        <v>44748</v>
      </c>
      <c r="B918" t="s">
        <v>61</v>
      </c>
      <c r="H918">
        <v>254730</v>
      </c>
      <c r="M918">
        <v>8339</v>
      </c>
      <c r="N918">
        <v>65266</v>
      </c>
      <c r="O918">
        <v>0.214</v>
      </c>
      <c r="P918">
        <v>34.57</v>
      </c>
      <c r="R918">
        <f t="shared" si="28"/>
        <v>0</v>
      </c>
      <c r="S918" s="3">
        <f t="shared" si="29"/>
        <v>0</v>
      </c>
    </row>
    <row r="919" spans="1:19" x14ac:dyDescent="0.3">
      <c r="A919" s="5">
        <v>44749</v>
      </c>
      <c r="B919" t="s">
        <v>61</v>
      </c>
      <c r="H919">
        <v>317801</v>
      </c>
      <c r="M919">
        <v>10403</v>
      </c>
      <c r="N919">
        <v>61582</v>
      </c>
      <c r="O919">
        <v>0.20200000000000001</v>
      </c>
      <c r="P919">
        <v>34.57</v>
      </c>
      <c r="R919">
        <f t="shared" si="28"/>
        <v>0</v>
      </c>
      <c r="S919" s="3">
        <f t="shared" si="29"/>
        <v>0</v>
      </c>
    </row>
    <row r="920" spans="1:19" x14ac:dyDescent="0.3">
      <c r="A920" s="5">
        <v>44750</v>
      </c>
      <c r="B920" t="s">
        <v>61</v>
      </c>
      <c r="H920">
        <v>380872</v>
      </c>
      <c r="M920">
        <v>12468</v>
      </c>
      <c r="N920">
        <v>57898</v>
      </c>
      <c r="O920">
        <v>0.19</v>
      </c>
      <c r="P920">
        <v>34.57</v>
      </c>
      <c r="R920">
        <f t="shared" si="28"/>
        <v>0</v>
      </c>
      <c r="S920" s="3">
        <f t="shared" si="29"/>
        <v>0</v>
      </c>
    </row>
    <row r="921" spans="1:19" x14ac:dyDescent="0.3">
      <c r="A921" s="5">
        <v>44751</v>
      </c>
      <c r="B921" t="s">
        <v>61</v>
      </c>
      <c r="H921">
        <v>443943</v>
      </c>
      <c r="M921">
        <v>14533</v>
      </c>
      <c r="N921">
        <v>54214</v>
      </c>
      <c r="O921">
        <v>0.17699999999999999</v>
      </c>
      <c r="P921">
        <v>34.57</v>
      </c>
      <c r="R921">
        <f t="shared" si="28"/>
        <v>0</v>
      </c>
      <c r="S921" s="3">
        <f t="shared" si="29"/>
        <v>0</v>
      </c>
    </row>
    <row r="922" spans="1:19" x14ac:dyDescent="0.3">
      <c r="A922" s="5">
        <v>44752</v>
      </c>
      <c r="B922" t="s">
        <v>61</v>
      </c>
      <c r="H922">
        <v>507014</v>
      </c>
      <c r="M922">
        <v>16598</v>
      </c>
      <c r="N922">
        <v>50529</v>
      </c>
      <c r="O922">
        <v>0.16500000000000001</v>
      </c>
      <c r="P922">
        <v>34.57</v>
      </c>
      <c r="R922">
        <f t="shared" si="28"/>
        <v>0</v>
      </c>
      <c r="S922" s="3">
        <f t="shared" si="29"/>
        <v>0</v>
      </c>
    </row>
    <row r="923" spans="1:19" x14ac:dyDescent="0.3">
      <c r="A923" s="5">
        <v>44753</v>
      </c>
      <c r="B923" t="s">
        <v>61</v>
      </c>
      <c r="C923">
        <v>50859914</v>
      </c>
      <c r="D923">
        <v>23749274</v>
      </c>
      <c r="E923">
        <v>20404410</v>
      </c>
      <c r="F923">
        <v>6706230</v>
      </c>
      <c r="H923">
        <v>567406</v>
      </c>
      <c r="I923">
        <v>166.49</v>
      </c>
      <c r="J923">
        <v>77.75</v>
      </c>
      <c r="K923">
        <v>66.8</v>
      </c>
      <c r="L923">
        <v>21.95</v>
      </c>
      <c r="M923">
        <v>18574</v>
      </c>
      <c r="N923">
        <v>45152</v>
      </c>
      <c r="O923">
        <v>0.14799999999999999</v>
      </c>
      <c r="P923">
        <v>34.54</v>
      </c>
      <c r="R923">
        <f t="shared" si="28"/>
        <v>10.950000000000003</v>
      </c>
      <c r="S923" s="3">
        <f t="shared" si="29"/>
        <v>0.72275</v>
      </c>
    </row>
    <row r="924" spans="1:19" x14ac:dyDescent="0.3">
      <c r="A924" s="5">
        <v>44754</v>
      </c>
      <c r="B924" t="s">
        <v>61</v>
      </c>
      <c r="H924">
        <v>498930</v>
      </c>
      <c r="M924">
        <v>16333</v>
      </c>
      <c r="N924">
        <v>44182</v>
      </c>
      <c r="O924">
        <v>0.14499999999999999</v>
      </c>
      <c r="P924">
        <v>34.54</v>
      </c>
      <c r="R924">
        <f t="shared" si="28"/>
        <v>0</v>
      </c>
      <c r="S924" s="3">
        <f t="shared" si="29"/>
        <v>0</v>
      </c>
    </row>
    <row r="925" spans="1:19" x14ac:dyDescent="0.3">
      <c r="A925" s="5">
        <v>44755</v>
      </c>
      <c r="B925" t="s">
        <v>61</v>
      </c>
      <c r="H925">
        <v>430454</v>
      </c>
      <c r="M925">
        <v>14091</v>
      </c>
      <c r="N925">
        <v>43212</v>
      </c>
      <c r="O925">
        <v>0.14099999999999999</v>
      </c>
      <c r="P925">
        <v>34.54</v>
      </c>
      <c r="R925">
        <f t="shared" si="28"/>
        <v>0</v>
      </c>
      <c r="S925" s="3">
        <f t="shared" si="29"/>
        <v>0</v>
      </c>
    </row>
    <row r="926" spans="1:19" x14ac:dyDescent="0.3">
      <c r="A926" s="5">
        <v>44756</v>
      </c>
      <c r="B926" t="s">
        <v>61</v>
      </c>
      <c r="H926">
        <v>361978</v>
      </c>
      <c r="M926">
        <v>11850</v>
      </c>
      <c r="N926">
        <v>42242</v>
      </c>
      <c r="O926">
        <v>0.13800000000000001</v>
      </c>
      <c r="P926">
        <v>34.54</v>
      </c>
      <c r="R926">
        <f t="shared" si="28"/>
        <v>0</v>
      </c>
      <c r="S926" s="3">
        <f t="shared" si="29"/>
        <v>0</v>
      </c>
    </row>
    <row r="927" spans="1:19" x14ac:dyDescent="0.3">
      <c r="A927" s="5">
        <v>44757</v>
      </c>
      <c r="B927" t="s">
        <v>61</v>
      </c>
      <c r="H927">
        <v>293503</v>
      </c>
      <c r="M927">
        <v>9608</v>
      </c>
      <c r="N927">
        <v>41272</v>
      </c>
      <c r="O927">
        <v>0.13500000000000001</v>
      </c>
      <c r="P927">
        <v>34.54</v>
      </c>
      <c r="R927">
        <f t="shared" si="28"/>
        <v>0</v>
      </c>
      <c r="S927" s="3">
        <f t="shared" si="29"/>
        <v>0</v>
      </c>
    </row>
    <row r="928" spans="1:19" x14ac:dyDescent="0.3">
      <c r="A928" s="5">
        <v>44758</v>
      </c>
      <c r="B928" t="s">
        <v>61</v>
      </c>
      <c r="H928">
        <v>225027</v>
      </c>
      <c r="M928">
        <v>7366</v>
      </c>
      <c r="N928">
        <v>40302</v>
      </c>
      <c r="O928">
        <v>0.13200000000000001</v>
      </c>
      <c r="P928">
        <v>34.54</v>
      </c>
      <c r="R928">
        <f t="shared" si="28"/>
        <v>0</v>
      </c>
      <c r="S928" s="3">
        <f t="shared" si="29"/>
        <v>0</v>
      </c>
    </row>
    <row r="929" spans="1:19" x14ac:dyDescent="0.3">
      <c r="A929" s="5">
        <v>44759</v>
      </c>
      <c r="B929" t="s">
        <v>61</v>
      </c>
      <c r="H929">
        <v>156551</v>
      </c>
      <c r="M929">
        <v>5125</v>
      </c>
      <c r="N929">
        <v>39331</v>
      </c>
      <c r="O929">
        <v>0.129</v>
      </c>
      <c r="P929">
        <v>34.54</v>
      </c>
      <c r="R929">
        <f t="shared" si="28"/>
        <v>0</v>
      </c>
      <c r="S929" s="3">
        <f t="shared" si="29"/>
        <v>0</v>
      </c>
    </row>
    <row r="930" spans="1:19" x14ac:dyDescent="0.3">
      <c r="A930" s="5">
        <v>44760</v>
      </c>
      <c r="B930" t="s">
        <v>61</v>
      </c>
      <c r="H930">
        <v>88075</v>
      </c>
      <c r="M930">
        <v>2883</v>
      </c>
      <c r="N930">
        <v>38361</v>
      </c>
      <c r="O930">
        <v>0.126</v>
      </c>
      <c r="P930">
        <v>34.54</v>
      </c>
      <c r="R930">
        <f t="shared" si="28"/>
        <v>0</v>
      </c>
      <c r="S930" s="3">
        <f t="shared" si="29"/>
        <v>0</v>
      </c>
    </row>
    <row r="931" spans="1:19" x14ac:dyDescent="0.3">
      <c r="A931" s="5">
        <v>44761</v>
      </c>
      <c r="B931" t="s">
        <v>61</v>
      </c>
      <c r="C931">
        <v>51564516</v>
      </c>
      <c r="D931">
        <v>24056165</v>
      </c>
      <c r="E931">
        <v>20497729</v>
      </c>
      <c r="F931">
        <v>7010622</v>
      </c>
      <c r="H931">
        <v>88075</v>
      </c>
      <c r="I931">
        <v>168.8</v>
      </c>
      <c r="J931">
        <v>78.75</v>
      </c>
      <c r="K931">
        <v>67.099999999999994</v>
      </c>
      <c r="L931">
        <v>22.95</v>
      </c>
      <c r="M931">
        <v>2883</v>
      </c>
      <c r="N931">
        <v>38361</v>
      </c>
      <c r="O931">
        <v>0.126</v>
      </c>
      <c r="P931">
        <v>34.49</v>
      </c>
      <c r="R931">
        <f t="shared" si="28"/>
        <v>11.650000000000006</v>
      </c>
      <c r="S931" s="3">
        <f t="shared" si="29"/>
        <v>0.72924999999999995</v>
      </c>
    </row>
    <row r="932" spans="1:19" x14ac:dyDescent="0.3">
      <c r="A932" s="5">
        <v>44762</v>
      </c>
      <c r="B932" t="s">
        <v>61</v>
      </c>
      <c r="H932">
        <v>100685</v>
      </c>
      <c r="M932">
        <v>3296</v>
      </c>
      <c r="N932">
        <v>52575</v>
      </c>
      <c r="O932">
        <v>0.17199999999999999</v>
      </c>
      <c r="P932">
        <v>34.49</v>
      </c>
      <c r="R932">
        <f t="shared" si="28"/>
        <v>0</v>
      </c>
      <c r="S932" s="3">
        <f t="shared" si="29"/>
        <v>0</v>
      </c>
    </row>
    <row r="933" spans="1:19" x14ac:dyDescent="0.3">
      <c r="A933" s="5">
        <v>44763</v>
      </c>
      <c r="B933" t="s">
        <v>61</v>
      </c>
      <c r="H933">
        <v>113294</v>
      </c>
      <c r="M933">
        <v>3709</v>
      </c>
      <c r="N933">
        <v>66789</v>
      </c>
      <c r="O933">
        <v>0.219</v>
      </c>
      <c r="P933">
        <v>34.49</v>
      </c>
      <c r="R933">
        <f t="shared" si="28"/>
        <v>0</v>
      </c>
      <c r="S933" s="3">
        <f t="shared" si="29"/>
        <v>0</v>
      </c>
    </row>
    <row r="934" spans="1:19" x14ac:dyDescent="0.3">
      <c r="A934" s="5">
        <v>44764</v>
      </c>
      <c r="B934" t="s">
        <v>61</v>
      </c>
      <c r="H934">
        <v>125904</v>
      </c>
      <c r="M934">
        <v>4122</v>
      </c>
      <c r="N934">
        <v>81002</v>
      </c>
      <c r="O934">
        <v>0.26500000000000001</v>
      </c>
      <c r="P934">
        <v>34.49</v>
      </c>
      <c r="R934">
        <f t="shared" si="28"/>
        <v>0</v>
      </c>
      <c r="S934" s="3">
        <f t="shared" si="29"/>
        <v>0</v>
      </c>
    </row>
    <row r="935" spans="1:19" x14ac:dyDescent="0.3">
      <c r="A935" s="5">
        <v>44765</v>
      </c>
      <c r="B935" t="s">
        <v>61</v>
      </c>
      <c r="C935">
        <v>52269883</v>
      </c>
      <c r="D935">
        <v>24607594</v>
      </c>
      <c r="E935">
        <v>20523367</v>
      </c>
      <c r="F935">
        <v>7138922</v>
      </c>
      <c r="H935">
        <v>138513</v>
      </c>
      <c r="I935">
        <v>171.11</v>
      </c>
      <c r="J935">
        <v>80.55</v>
      </c>
      <c r="K935">
        <v>67.180000000000007</v>
      </c>
      <c r="L935">
        <v>23.37</v>
      </c>
      <c r="M935">
        <v>4534</v>
      </c>
      <c r="N935">
        <v>95216</v>
      </c>
      <c r="O935">
        <v>0.312</v>
      </c>
      <c r="P935">
        <v>34.479999999999997</v>
      </c>
      <c r="R935">
        <f t="shared" si="28"/>
        <v>13.36999999999999</v>
      </c>
      <c r="S935" s="3">
        <f t="shared" si="29"/>
        <v>0.73865000000000014</v>
      </c>
    </row>
    <row r="936" spans="1:19" x14ac:dyDescent="0.3">
      <c r="A936" s="5">
        <v>44766</v>
      </c>
      <c r="B936" t="s">
        <v>61</v>
      </c>
      <c r="H936">
        <v>138137</v>
      </c>
      <c r="M936">
        <v>4522</v>
      </c>
      <c r="N936">
        <v>98279</v>
      </c>
      <c r="O936">
        <v>0.32200000000000001</v>
      </c>
      <c r="P936">
        <v>34.479999999999997</v>
      </c>
      <c r="R936">
        <f t="shared" si="28"/>
        <v>0</v>
      </c>
      <c r="S936" s="3">
        <f t="shared" si="29"/>
        <v>0</v>
      </c>
    </row>
    <row r="937" spans="1:19" x14ac:dyDescent="0.3">
      <c r="A937" s="5">
        <v>44767</v>
      </c>
      <c r="B937" t="s">
        <v>61</v>
      </c>
      <c r="H937">
        <v>137761</v>
      </c>
      <c r="M937">
        <v>4510</v>
      </c>
      <c r="N937">
        <v>101342</v>
      </c>
      <c r="O937">
        <v>0.33200000000000002</v>
      </c>
      <c r="P937">
        <v>34.479999999999997</v>
      </c>
      <c r="R937">
        <f t="shared" si="28"/>
        <v>0</v>
      </c>
      <c r="S937" s="3">
        <f t="shared" si="29"/>
        <v>0</v>
      </c>
    </row>
    <row r="938" spans="1:19" x14ac:dyDescent="0.3">
      <c r="A938" s="5">
        <v>44768</v>
      </c>
      <c r="B938" t="s">
        <v>61</v>
      </c>
      <c r="H938">
        <v>137386</v>
      </c>
      <c r="M938">
        <v>4497</v>
      </c>
      <c r="N938">
        <v>104405</v>
      </c>
      <c r="O938">
        <v>0.34200000000000003</v>
      </c>
      <c r="P938">
        <v>34.479999999999997</v>
      </c>
      <c r="R938">
        <f t="shared" si="28"/>
        <v>0</v>
      </c>
      <c r="S938" s="3">
        <f t="shared" si="29"/>
        <v>0</v>
      </c>
    </row>
    <row r="939" spans="1:19" x14ac:dyDescent="0.3">
      <c r="A939" s="5">
        <v>44769</v>
      </c>
      <c r="B939" t="s">
        <v>61</v>
      </c>
      <c r="H939">
        <v>124400</v>
      </c>
      <c r="M939">
        <v>4072</v>
      </c>
      <c r="N939">
        <v>93255</v>
      </c>
      <c r="O939">
        <v>0.30499999999999999</v>
      </c>
      <c r="P939">
        <v>34.479999999999997</v>
      </c>
      <c r="R939">
        <f t="shared" si="28"/>
        <v>0</v>
      </c>
      <c r="S939" s="3">
        <f t="shared" si="29"/>
        <v>0</v>
      </c>
    </row>
    <row r="940" spans="1:19" x14ac:dyDescent="0.3">
      <c r="A940" s="5">
        <v>44770</v>
      </c>
      <c r="B940" t="s">
        <v>61</v>
      </c>
      <c r="H940">
        <v>111415</v>
      </c>
      <c r="M940">
        <v>3647</v>
      </c>
      <c r="N940">
        <v>82104</v>
      </c>
      <c r="O940">
        <v>0.26900000000000002</v>
      </c>
      <c r="P940">
        <v>34.479999999999997</v>
      </c>
      <c r="R940">
        <f t="shared" si="28"/>
        <v>0</v>
      </c>
      <c r="S940" s="3">
        <f t="shared" si="29"/>
        <v>0</v>
      </c>
    </row>
    <row r="941" spans="1:19" x14ac:dyDescent="0.3">
      <c r="A941" s="5">
        <v>44771</v>
      </c>
      <c r="B941" t="s">
        <v>61</v>
      </c>
      <c r="H941">
        <v>98429</v>
      </c>
      <c r="M941">
        <v>3222</v>
      </c>
      <c r="N941">
        <v>70953</v>
      </c>
      <c r="O941">
        <v>0.23200000000000001</v>
      </c>
      <c r="P941">
        <v>34.479999999999997</v>
      </c>
      <c r="R941">
        <f t="shared" si="28"/>
        <v>0</v>
      </c>
      <c r="S941" s="3">
        <f t="shared" si="29"/>
        <v>0</v>
      </c>
    </row>
    <row r="942" spans="1:19" x14ac:dyDescent="0.3">
      <c r="A942" s="5">
        <v>44772</v>
      </c>
      <c r="B942" t="s">
        <v>61</v>
      </c>
      <c r="C942">
        <v>52867991</v>
      </c>
      <c r="D942">
        <v>25026214</v>
      </c>
      <c r="E942">
        <v>20579365</v>
      </c>
      <c r="F942">
        <v>7262412</v>
      </c>
      <c r="H942">
        <v>85444</v>
      </c>
      <c r="I942">
        <v>173.07</v>
      </c>
      <c r="J942">
        <v>81.93</v>
      </c>
      <c r="K942">
        <v>67.37</v>
      </c>
      <c r="L942">
        <v>23.77</v>
      </c>
      <c r="M942">
        <v>2797</v>
      </c>
      <c r="N942">
        <v>59803</v>
      </c>
      <c r="O942">
        <v>0.19600000000000001</v>
      </c>
      <c r="P942">
        <v>34.44</v>
      </c>
      <c r="R942">
        <f t="shared" si="28"/>
        <v>14.560000000000002</v>
      </c>
      <c r="S942" s="3">
        <f t="shared" si="29"/>
        <v>0.74650000000000005</v>
      </c>
    </row>
    <row r="943" spans="1:19" x14ac:dyDescent="0.3">
      <c r="A943" s="5">
        <v>44773</v>
      </c>
      <c r="B943" t="s">
        <v>61</v>
      </c>
      <c r="H943">
        <v>79468</v>
      </c>
      <c r="M943">
        <v>2601</v>
      </c>
      <c r="N943">
        <v>54828</v>
      </c>
      <c r="O943">
        <v>0.17899999999999999</v>
      </c>
      <c r="P943">
        <v>34.44</v>
      </c>
      <c r="R943">
        <f t="shared" si="28"/>
        <v>0</v>
      </c>
      <c r="S943" s="3">
        <f t="shared" si="29"/>
        <v>0</v>
      </c>
    </row>
    <row r="944" spans="1:19" x14ac:dyDescent="0.3">
      <c r="A944" s="5">
        <v>44774</v>
      </c>
      <c r="B944" t="s">
        <v>61</v>
      </c>
      <c r="H944">
        <v>73492</v>
      </c>
      <c r="M944">
        <v>2406</v>
      </c>
      <c r="N944">
        <v>49852</v>
      </c>
      <c r="O944">
        <v>0.16300000000000001</v>
      </c>
      <c r="P944">
        <v>34.44</v>
      </c>
      <c r="R944">
        <f t="shared" si="28"/>
        <v>0</v>
      </c>
      <c r="S944" s="3">
        <f t="shared" si="29"/>
        <v>0</v>
      </c>
    </row>
    <row r="945" spans="1:19" x14ac:dyDescent="0.3">
      <c r="A945" s="5">
        <v>44775</v>
      </c>
      <c r="B945" t="s">
        <v>61</v>
      </c>
      <c r="H945">
        <v>67516</v>
      </c>
      <c r="M945">
        <v>2210</v>
      </c>
      <c r="N945">
        <v>44877</v>
      </c>
      <c r="O945">
        <v>0.14699999999999999</v>
      </c>
      <c r="P945">
        <v>34.44</v>
      </c>
      <c r="R945">
        <f t="shared" si="28"/>
        <v>0</v>
      </c>
      <c r="S945" s="3">
        <f t="shared" si="29"/>
        <v>0</v>
      </c>
    </row>
    <row r="946" spans="1:19" x14ac:dyDescent="0.3">
      <c r="A946" s="5">
        <v>44776</v>
      </c>
      <c r="B946" t="s">
        <v>61</v>
      </c>
      <c r="H946">
        <v>61539</v>
      </c>
      <c r="M946">
        <v>2015</v>
      </c>
      <c r="N946">
        <v>39902</v>
      </c>
      <c r="O946">
        <v>0.13100000000000001</v>
      </c>
      <c r="P946">
        <v>34.44</v>
      </c>
      <c r="R946">
        <f t="shared" si="28"/>
        <v>0</v>
      </c>
      <c r="S946" s="3">
        <f t="shared" si="29"/>
        <v>0</v>
      </c>
    </row>
    <row r="947" spans="1:19" x14ac:dyDescent="0.3">
      <c r="A947" s="5">
        <v>44777</v>
      </c>
      <c r="B947" t="s">
        <v>61</v>
      </c>
      <c r="H947">
        <v>55563</v>
      </c>
      <c r="M947">
        <v>1819</v>
      </c>
      <c r="N947">
        <v>34927</v>
      </c>
      <c r="O947">
        <v>0.114</v>
      </c>
      <c r="P947">
        <v>34.44</v>
      </c>
      <c r="R947">
        <f t="shared" si="28"/>
        <v>0</v>
      </c>
      <c r="S947" s="3">
        <f t="shared" si="29"/>
        <v>0</v>
      </c>
    </row>
    <row r="948" spans="1:19" x14ac:dyDescent="0.3">
      <c r="A948" s="5">
        <v>44778</v>
      </c>
      <c r="B948" t="s">
        <v>61</v>
      </c>
      <c r="H948">
        <v>49587</v>
      </c>
      <c r="M948">
        <v>1623</v>
      </c>
      <c r="N948">
        <v>29952</v>
      </c>
      <c r="O948">
        <v>9.8000000000000004E-2</v>
      </c>
      <c r="P948">
        <v>34.44</v>
      </c>
      <c r="R948">
        <f t="shared" si="28"/>
        <v>0</v>
      </c>
      <c r="S948" s="3">
        <f t="shared" si="29"/>
        <v>0</v>
      </c>
    </row>
    <row r="949" spans="1:19" x14ac:dyDescent="0.3">
      <c r="A949" s="5">
        <v>44779</v>
      </c>
      <c r="B949" t="s">
        <v>61</v>
      </c>
      <c r="H949">
        <v>43611</v>
      </c>
      <c r="M949">
        <v>1428</v>
      </c>
      <c r="N949">
        <v>24976</v>
      </c>
      <c r="O949">
        <v>8.2000000000000003E-2</v>
      </c>
      <c r="P949">
        <v>34.44</v>
      </c>
      <c r="R949">
        <f t="shared" si="28"/>
        <v>0</v>
      </c>
      <c r="S949" s="3">
        <f t="shared" si="29"/>
        <v>0</v>
      </c>
    </row>
    <row r="950" spans="1:19" x14ac:dyDescent="0.3">
      <c r="A950" s="5">
        <v>44780</v>
      </c>
      <c r="B950" t="s">
        <v>61</v>
      </c>
      <c r="H950">
        <v>43611</v>
      </c>
      <c r="M950">
        <v>1428</v>
      </c>
      <c r="N950">
        <v>24976</v>
      </c>
      <c r="O950">
        <v>8.2000000000000003E-2</v>
      </c>
      <c r="P950">
        <v>34.44</v>
      </c>
      <c r="R950">
        <f t="shared" si="28"/>
        <v>0</v>
      </c>
      <c r="S950" s="3">
        <f t="shared" si="29"/>
        <v>0</v>
      </c>
    </row>
    <row r="951" spans="1:19" x14ac:dyDescent="0.3">
      <c r="A951" s="5">
        <v>44781</v>
      </c>
      <c r="B951" t="s">
        <v>61</v>
      </c>
      <c r="C951">
        <v>53260490</v>
      </c>
      <c r="D951">
        <v>25251001</v>
      </c>
      <c r="E951">
        <v>20640381</v>
      </c>
      <c r="F951">
        <v>7369108</v>
      </c>
      <c r="H951">
        <v>43611</v>
      </c>
      <c r="I951">
        <v>174.35</v>
      </c>
      <c r="J951">
        <v>82.66</v>
      </c>
      <c r="K951">
        <v>67.569999999999993</v>
      </c>
      <c r="L951">
        <v>24.12</v>
      </c>
      <c r="M951">
        <v>1428</v>
      </c>
      <c r="N951">
        <v>24976</v>
      </c>
      <c r="O951">
        <v>8.2000000000000003E-2</v>
      </c>
      <c r="P951">
        <v>34.409999999999997</v>
      </c>
      <c r="R951">
        <f t="shared" si="28"/>
        <v>15.090000000000003</v>
      </c>
      <c r="S951" s="3">
        <f t="shared" si="29"/>
        <v>0.75114999999999998</v>
      </c>
    </row>
    <row r="952" spans="1:19" x14ac:dyDescent="0.3">
      <c r="A952" s="5">
        <v>44782</v>
      </c>
      <c r="B952" t="s">
        <v>61</v>
      </c>
      <c r="H952">
        <v>47317</v>
      </c>
      <c r="M952">
        <v>1549</v>
      </c>
      <c r="N952">
        <v>24843</v>
      </c>
      <c r="O952">
        <v>8.1000000000000003E-2</v>
      </c>
      <c r="P952">
        <v>34.409999999999997</v>
      </c>
      <c r="R952">
        <f t="shared" si="28"/>
        <v>0</v>
      </c>
      <c r="S952" s="3">
        <f t="shared" si="29"/>
        <v>0</v>
      </c>
    </row>
    <row r="953" spans="1:19" x14ac:dyDescent="0.3">
      <c r="A953" s="5">
        <v>44783</v>
      </c>
      <c r="B953" t="s">
        <v>61</v>
      </c>
      <c r="H953">
        <v>51024</v>
      </c>
      <c r="M953">
        <v>1670</v>
      </c>
      <c r="N953">
        <v>24709</v>
      </c>
      <c r="O953">
        <v>8.1000000000000003E-2</v>
      </c>
      <c r="P953">
        <v>34.409999999999997</v>
      </c>
      <c r="R953">
        <f t="shared" si="28"/>
        <v>0</v>
      </c>
      <c r="S953" s="3">
        <f t="shared" si="29"/>
        <v>0</v>
      </c>
    </row>
    <row r="954" spans="1:19" x14ac:dyDescent="0.3">
      <c r="A954" s="5">
        <v>44784</v>
      </c>
      <c r="B954" t="s">
        <v>61</v>
      </c>
      <c r="H954">
        <v>54730</v>
      </c>
      <c r="M954">
        <v>1792</v>
      </c>
      <c r="N954">
        <v>24576</v>
      </c>
      <c r="O954">
        <v>0.08</v>
      </c>
      <c r="P954">
        <v>34.409999999999997</v>
      </c>
      <c r="R954">
        <f t="shared" si="28"/>
        <v>0</v>
      </c>
      <c r="S954" s="3">
        <f t="shared" si="29"/>
        <v>0</v>
      </c>
    </row>
    <row r="955" spans="1:19" x14ac:dyDescent="0.3">
      <c r="A955" s="5">
        <v>44785</v>
      </c>
      <c r="B955" t="s">
        <v>61</v>
      </c>
      <c r="H955">
        <v>58436</v>
      </c>
      <c r="M955">
        <v>1913</v>
      </c>
      <c r="N955">
        <v>24442</v>
      </c>
      <c r="O955">
        <v>0.08</v>
      </c>
      <c r="P955">
        <v>34.409999999999997</v>
      </c>
      <c r="R955">
        <f t="shared" si="28"/>
        <v>0</v>
      </c>
      <c r="S955" s="3">
        <f t="shared" si="29"/>
        <v>0</v>
      </c>
    </row>
    <row r="956" spans="1:19" x14ac:dyDescent="0.3">
      <c r="A956" s="5">
        <v>44786</v>
      </c>
      <c r="B956" t="s">
        <v>61</v>
      </c>
      <c r="H956">
        <v>62143</v>
      </c>
      <c r="M956">
        <v>2034</v>
      </c>
      <c r="N956">
        <v>24309</v>
      </c>
      <c r="O956">
        <v>0.08</v>
      </c>
      <c r="P956">
        <v>34.409999999999997</v>
      </c>
      <c r="R956">
        <f t="shared" si="28"/>
        <v>0</v>
      </c>
      <c r="S956" s="3">
        <f t="shared" si="29"/>
        <v>0</v>
      </c>
    </row>
    <row r="957" spans="1:19" x14ac:dyDescent="0.3">
      <c r="A957" s="5">
        <v>44787</v>
      </c>
      <c r="B957" t="s">
        <v>61</v>
      </c>
      <c r="H957">
        <v>65849</v>
      </c>
      <c r="M957">
        <v>2156</v>
      </c>
      <c r="N957">
        <v>24175</v>
      </c>
      <c r="O957">
        <v>7.9000000000000001E-2</v>
      </c>
      <c r="P957">
        <v>34.409999999999997</v>
      </c>
      <c r="R957">
        <f t="shared" si="28"/>
        <v>0</v>
      </c>
      <c r="S957" s="3">
        <f t="shared" si="29"/>
        <v>0</v>
      </c>
    </row>
    <row r="958" spans="1:19" x14ac:dyDescent="0.3">
      <c r="A958" s="5">
        <v>44788</v>
      </c>
      <c r="B958" t="s">
        <v>61</v>
      </c>
      <c r="C958">
        <v>53747378</v>
      </c>
      <c r="D958">
        <v>25419295</v>
      </c>
      <c r="E958">
        <v>20876075</v>
      </c>
      <c r="F958">
        <v>7452008</v>
      </c>
      <c r="H958">
        <v>69555</v>
      </c>
      <c r="I958">
        <v>175.95</v>
      </c>
      <c r="J958">
        <v>83.21</v>
      </c>
      <c r="K958">
        <v>68.34</v>
      </c>
      <c r="L958">
        <v>24.39</v>
      </c>
      <c r="M958">
        <v>2277</v>
      </c>
      <c r="N958">
        <v>24042</v>
      </c>
      <c r="O958">
        <v>7.9000000000000001E-2</v>
      </c>
      <c r="P958">
        <v>34.270000000000003</v>
      </c>
      <c r="R958">
        <f t="shared" si="28"/>
        <v>14.86999999999999</v>
      </c>
      <c r="S958" s="3">
        <f t="shared" si="29"/>
        <v>0.75775000000000003</v>
      </c>
    </row>
    <row r="959" spans="1:19" x14ac:dyDescent="0.3">
      <c r="A959" s="5">
        <v>44789</v>
      </c>
      <c r="B959" t="s">
        <v>61</v>
      </c>
      <c r="H959">
        <v>76583</v>
      </c>
      <c r="M959">
        <v>2507</v>
      </c>
      <c r="N959">
        <v>26509</v>
      </c>
      <c r="O959">
        <v>8.6999999999999994E-2</v>
      </c>
      <c r="P959">
        <v>34.270000000000003</v>
      </c>
      <c r="R959">
        <f t="shared" si="28"/>
        <v>0</v>
      </c>
      <c r="S959" s="3">
        <f t="shared" si="29"/>
        <v>0</v>
      </c>
    </row>
    <row r="960" spans="1:19" x14ac:dyDescent="0.3">
      <c r="A960" s="5">
        <v>44790</v>
      </c>
      <c r="B960" t="s">
        <v>61</v>
      </c>
      <c r="H960">
        <v>83610</v>
      </c>
      <c r="M960">
        <v>2737</v>
      </c>
      <c r="N960">
        <v>28976</v>
      </c>
      <c r="O960">
        <v>9.5000000000000001E-2</v>
      </c>
      <c r="P960">
        <v>34.270000000000003</v>
      </c>
      <c r="R960">
        <f t="shared" si="28"/>
        <v>0</v>
      </c>
      <c r="S960" s="3">
        <f t="shared" si="29"/>
        <v>0</v>
      </c>
    </row>
    <row r="961" spans="1:19" x14ac:dyDescent="0.3">
      <c r="A961" s="5">
        <v>44791</v>
      </c>
      <c r="B961" t="s">
        <v>61</v>
      </c>
      <c r="H961">
        <v>90637</v>
      </c>
      <c r="M961">
        <v>2967</v>
      </c>
      <c r="N961">
        <v>31443</v>
      </c>
      <c r="O961">
        <v>0.10299999999999999</v>
      </c>
      <c r="P961">
        <v>34.270000000000003</v>
      </c>
      <c r="R961">
        <f t="shared" si="28"/>
        <v>0</v>
      </c>
      <c r="S961" s="3">
        <f t="shared" si="29"/>
        <v>0</v>
      </c>
    </row>
    <row r="962" spans="1:19" x14ac:dyDescent="0.3">
      <c r="A962" s="5">
        <v>44792</v>
      </c>
      <c r="B962" t="s">
        <v>61</v>
      </c>
      <c r="H962">
        <v>97665</v>
      </c>
      <c r="M962">
        <v>3197</v>
      </c>
      <c r="N962">
        <v>33910</v>
      </c>
      <c r="O962">
        <v>0.111</v>
      </c>
      <c r="P962">
        <v>34.270000000000003</v>
      </c>
      <c r="R962">
        <f t="shared" si="28"/>
        <v>0</v>
      </c>
      <c r="S962" s="3">
        <f t="shared" si="29"/>
        <v>0</v>
      </c>
    </row>
    <row r="963" spans="1:19" x14ac:dyDescent="0.3">
      <c r="A963" s="5">
        <v>44793</v>
      </c>
      <c r="B963" t="s">
        <v>61</v>
      </c>
      <c r="H963">
        <v>104692</v>
      </c>
      <c r="M963">
        <v>3427</v>
      </c>
      <c r="N963">
        <v>36377</v>
      </c>
      <c r="O963">
        <v>0.11899999999999999</v>
      </c>
      <c r="P963">
        <v>34.270000000000003</v>
      </c>
      <c r="R963">
        <f t="shared" si="28"/>
        <v>0</v>
      </c>
      <c r="S963" s="3">
        <f t="shared" si="29"/>
        <v>0</v>
      </c>
    </row>
    <row r="964" spans="1:19" x14ac:dyDescent="0.3">
      <c r="A964" s="5">
        <v>44794</v>
      </c>
      <c r="B964" t="s">
        <v>61</v>
      </c>
      <c r="H964">
        <v>111719</v>
      </c>
      <c r="M964">
        <v>3657</v>
      </c>
      <c r="N964">
        <v>38844</v>
      </c>
      <c r="O964">
        <v>0.127</v>
      </c>
      <c r="P964">
        <v>34.270000000000003</v>
      </c>
      <c r="R964">
        <f t="shared" si="28"/>
        <v>0</v>
      </c>
      <c r="S964" s="3">
        <f t="shared" si="29"/>
        <v>0</v>
      </c>
    </row>
    <row r="965" spans="1:19" x14ac:dyDescent="0.3">
      <c r="A965" s="5">
        <v>44795</v>
      </c>
      <c r="B965" t="s">
        <v>61</v>
      </c>
      <c r="H965">
        <v>118746</v>
      </c>
      <c r="M965">
        <v>3887</v>
      </c>
      <c r="N965">
        <v>41311</v>
      </c>
      <c r="O965">
        <v>0.13500000000000001</v>
      </c>
      <c r="P965">
        <v>34.270000000000003</v>
      </c>
      <c r="R965">
        <f t="shared" si="28"/>
        <v>0</v>
      </c>
      <c r="S965" s="3">
        <f t="shared" si="29"/>
        <v>0</v>
      </c>
    </row>
    <row r="966" spans="1:19" x14ac:dyDescent="0.3">
      <c r="A966" s="5">
        <v>44796</v>
      </c>
      <c r="B966" t="s">
        <v>61</v>
      </c>
      <c r="H966">
        <v>118746</v>
      </c>
      <c r="M966">
        <v>3887</v>
      </c>
      <c r="N966">
        <v>41311</v>
      </c>
      <c r="O966">
        <v>0.13500000000000001</v>
      </c>
      <c r="P966">
        <v>34.270000000000003</v>
      </c>
      <c r="R966">
        <f t="shared" ref="R966:R1029" si="30">J966-K966</f>
        <v>0</v>
      </c>
      <c r="S966" s="3">
        <f t="shared" ref="S966:S1029" si="31">MIN(1, (0.5*MAX(R966,0) + 1*K966)/100 )</f>
        <v>0</v>
      </c>
    </row>
    <row r="967" spans="1:19" x14ac:dyDescent="0.3">
      <c r="A967" s="5">
        <v>44797</v>
      </c>
      <c r="B967" t="s">
        <v>61</v>
      </c>
      <c r="H967">
        <v>118746</v>
      </c>
      <c r="M967">
        <v>3887</v>
      </c>
      <c r="N967">
        <v>41311</v>
      </c>
      <c r="O967">
        <v>0.13500000000000001</v>
      </c>
      <c r="P967">
        <v>34.270000000000003</v>
      </c>
      <c r="R967">
        <f t="shared" si="30"/>
        <v>0</v>
      </c>
      <c r="S967" s="3">
        <f t="shared" si="31"/>
        <v>0</v>
      </c>
    </row>
    <row r="968" spans="1:19" x14ac:dyDescent="0.3">
      <c r="A968" s="5">
        <v>44798</v>
      </c>
      <c r="B968" t="s">
        <v>61</v>
      </c>
      <c r="H968">
        <v>118746</v>
      </c>
      <c r="M968">
        <v>3887</v>
      </c>
      <c r="N968">
        <v>41311</v>
      </c>
      <c r="O968">
        <v>0.13500000000000001</v>
      </c>
      <c r="P968">
        <v>34.270000000000003</v>
      </c>
      <c r="R968">
        <f t="shared" si="30"/>
        <v>0</v>
      </c>
      <c r="S968" s="3">
        <f t="shared" si="31"/>
        <v>0</v>
      </c>
    </row>
    <row r="969" spans="1:19" x14ac:dyDescent="0.3">
      <c r="A969" s="5">
        <v>44799</v>
      </c>
      <c r="B969" t="s">
        <v>61</v>
      </c>
      <c r="H969">
        <v>118746</v>
      </c>
      <c r="M969">
        <v>3887</v>
      </c>
      <c r="N969">
        <v>41311</v>
      </c>
      <c r="O969">
        <v>0.13500000000000001</v>
      </c>
      <c r="P969">
        <v>34.270000000000003</v>
      </c>
      <c r="R969">
        <f t="shared" si="30"/>
        <v>0</v>
      </c>
      <c r="S969" s="3">
        <f t="shared" si="31"/>
        <v>0</v>
      </c>
    </row>
    <row r="970" spans="1:19" x14ac:dyDescent="0.3">
      <c r="A970" s="5">
        <v>44800</v>
      </c>
      <c r="B970" t="s">
        <v>61</v>
      </c>
      <c r="H970">
        <v>118746</v>
      </c>
      <c r="M970">
        <v>3887</v>
      </c>
      <c r="N970">
        <v>41311</v>
      </c>
      <c r="O970">
        <v>0.13500000000000001</v>
      </c>
      <c r="P970">
        <v>34.270000000000003</v>
      </c>
      <c r="R970">
        <f t="shared" si="30"/>
        <v>0</v>
      </c>
      <c r="S970" s="3">
        <f t="shared" si="31"/>
        <v>0</v>
      </c>
    </row>
    <row r="971" spans="1:19" x14ac:dyDescent="0.3">
      <c r="A971" s="5">
        <v>44801</v>
      </c>
      <c r="B971" t="s">
        <v>61</v>
      </c>
      <c r="H971">
        <v>118746</v>
      </c>
      <c r="M971">
        <v>3887</v>
      </c>
      <c r="N971">
        <v>41311</v>
      </c>
      <c r="O971">
        <v>0.13500000000000001</v>
      </c>
      <c r="P971">
        <v>34.270000000000003</v>
      </c>
      <c r="R971">
        <f t="shared" si="30"/>
        <v>0</v>
      </c>
      <c r="S971" s="3">
        <f t="shared" si="31"/>
        <v>0</v>
      </c>
    </row>
    <row r="972" spans="1:19" x14ac:dyDescent="0.3">
      <c r="A972" s="5">
        <v>44802</v>
      </c>
      <c r="B972" t="s">
        <v>61</v>
      </c>
      <c r="C972">
        <v>55409828</v>
      </c>
      <c r="D972">
        <v>25997644</v>
      </c>
      <c r="E972">
        <v>21686037</v>
      </c>
      <c r="F972">
        <v>7726147</v>
      </c>
      <c r="H972">
        <v>118746</v>
      </c>
      <c r="I972">
        <v>181.39</v>
      </c>
      <c r="J972">
        <v>85.11</v>
      </c>
      <c r="K972">
        <v>70.989999999999995</v>
      </c>
      <c r="L972">
        <v>25.29</v>
      </c>
      <c r="M972">
        <v>3887</v>
      </c>
      <c r="N972">
        <v>41311</v>
      </c>
      <c r="O972">
        <v>0.13500000000000001</v>
      </c>
      <c r="P972">
        <v>33.81</v>
      </c>
      <c r="R972">
        <f t="shared" si="30"/>
        <v>14.120000000000005</v>
      </c>
      <c r="S972" s="3">
        <f t="shared" si="31"/>
        <v>0.78049999999999997</v>
      </c>
    </row>
    <row r="973" spans="1:19" x14ac:dyDescent="0.3">
      <c r="A973" s="5">
        <v>44803</v>
      </c>
      <c r="B973" t="s">
        <v>61</v>
      </c>
      <c r="H973">
        <v>117079</v>
      </c>
      <c r="M973">
        <v>3833</v>
      </c>
      <c r="N973">
        <v>42271</v>
      </c>
      <c r="O973">
        <v>0.13800000000000001</v>
      </c>
      <c r="P973">
        <v>33.81</v>
      </c>
      <c r="R973">
        <f t="shared" si="30"/>
        <v>0</v>
      </c>
      <c r="S973" s="3">
        <f t="shared" si="31"/>
        <v>0</v>
      </c>
    </row>
    <row r="974" spans="1:19" x14ac:dyDescent="0.3">
      <c r="A974" s="5">
        <v>44804</v>
      </c>
      <c r="B974" t="s">
        <v>61</v>
      </c>
      <c r="H974">
        <v>115411</v>
      </c>
      <c r="M974">
        <v>3778</v>
      </c>
      <c r="N974">
        <v>43232</v>
      </c>
      <c r="O974">
        <v>0.14199999999999999</v>
      </c>
      <c r="P974">
        <v>33.81</v>
      </c>
      <c r="R974">
        <f t="shared" si="30"/>
        <v>0</v>
      </c>
      <c r="S974" s="3">
        <f t="shared" si="31"/>
        <v>0</v>
      </c>
    </row>
    <row r="975" spans="1:19" x14ac:dyDescent="0.3">
      <c r="A975" s="5">
        <v>44805</v>
      </c>
      <c r="B975" t="s">
        <v>61</v>
      </c>
      <c r="H975">
        <v>113743</v>
      </c>
      <c r="M975">
        <v>3723</v>
      </c>
      <c r="N975">
        <v>44193</v>
      </c>
      <c r="O975">
        <v>0.14499999999999999</v>
      </c>
      <c r="P975">
        <v>33.81</v>
      </c>
      <c r="R975">
        <f t="shared" si="30"/>
        <v>0</v>
      </c>
      <c r="S975" s="3">
        <f t="shared" si="31"/>
        <v>0</v>
      </c>
    </row>
    <row r="976" spans="1:19" x14ac:dyDescent="0.3">
      <c r="A976" s="5">
        <v>44806</v>
      </c>
      <c r="B976" t="s">
        <v>61</v>
      </c>
      <c r="H976">
        <v>112075</v>
      </c>
      <c r="M976">
        <v>3669</v>
      </c>
      <c r="N976">
        <v>45154</v>
      </c>
      <c r="O976">
        <v>0.14799999999999999</v>
      </c>
      <c r="P976">
        <v>33.81</v>
      </c>
      <c r="R976">
        <f t="shared" si="30"/>
        <v>0</v>
      </c>
      <c r="S976" s="3">
        <f t="shared" si="31"/>
        <v>0</v>
      </c>
    </row>
    <row r="977" spans="1:19" x14ac:dyDescent="0.3">
      <c r="A977" s="5">
        <v>44807</v>
      </c>
      <c r="B977" t="s">
        <v>61</v>
      </c>
      <c r="H977">
        <v>110408</v>
      </c>
      <c r="M977">
        <v>3614</v>
      </c>
      <c r="N977">
        <v>46115</v>
      </c>
      <c r="O977">
        <v>0.151</v>
      </c>
      <c r="P977">
        <v>33.81</v>
      </c>
      <c r="R977">
        <f t="shared" si="30"/>
        <v>0</v>
      </c>
      <c r="S977" s="3">
        <f t="shared" si="31"/>
        <v>0</v>
      </c>
    </row>
    <row r="978" spans="1:19" x14ac:dyDescent="0.3">
      <c r="A978" s="5">
        <v>44808</v>
      </c>
      <c r="B978" t="s">
        <v>61</v>
      </c>
      <c r="H978">
        <v>108740</v>
      </c>
      <c r="M978">
        <v>3560</v>
      </c>
      <c r="N978">
        <v>47075</v>
      </c>
      <c r="O978">
        <v>0.154</v>
      </c>
      <c r="P978">
        <v>33.81</v>
      </c>
      <c r="R978">
        <f t="shared" si="30"/>
        <v>0</v>
      </c>
      <c r="S978" s="3">
        <f t="shared" si="31"/>
        <v>0</v>
      </c>
    </row>
    <row r="979" spans="1:19" x14ac:dyDescent="0.3">
      <c r="A979" s="5">
        <v>44809</v>
      </c>
      <c r="B979" t="s">
        <v>61</v>
      </c>
      <c r="H979">
        <v>107072</v>
      </c>
      <c r="M979">
        <v>3505</v>
      </c>
      <c r="N979">
        <v>48036</v>
      </c>
      <c r="O979">
        <v>0.157</v>
      </c>
      <c r="P979">
        <v>33.81</v>
      </c>
      <c r="R979">
        <f t="shared" si="30"/>
        <v>0</v>
      </c>
      <c r="S979" s="3">
        <f t="shared" si="31"/>
        <v>0</v>
      </c>
    </row>
    <row r="980" spans="1:19" x14ac:dyDescent="0.3">
      <c r="A980" s="5">
        <v>44810</v>
      </c>
      <c r="B980" t="s">
        <v>61</v>
      </c>
      <c r="H980">
        <v>107072</v>
      </c>
      <c r="M980">
        <v>3505</v>
      </c>
      <c r="N980">
        <v>48036</v>
      </c>
      <c r="O980">
        <v>0.157</v>
      </c>
      <c r="P980">
        <v>33.81</v>
      </c>
      <c r="R980">
        <f t="shared" si="30"/>
        <v>0</v>
      </c>
      <c r="S980" s="3">
        <f t="shared" si="31"/>
        <v>0</v>
      </c>
    </row>
    <row r="981" spans="1:19" x14ac:dyDescent="0.3">
      <c r="A981" s="5">
        <v>44811</v>
      </c>
      <c r="B981" t="s">
        <v>61</v>
      </c>
      <c r="H981">
        <v>107072</v>
      </c>
      <c r="M981">
        <v>3505</v>
      </c>
      <c r="N981">
        <v>48036</v>
      </c>
      <c r="O981">
        <v>0.157</v>
      </c>
      <c r="P981">
        <v>33.81</v>
      </c>
      <c r="R981">
        <f t="shared" si="30"/>
        <v>0</v>
      </c>
      <c r="S981" s="3">
        <f t="shared" si="31"/>
        <v>0</v>
      </c>
    </row>
    <row r="982" spans="1:19" x14ac:dyDescent="0.3">
      <c r="A982" s="5">
        <v>44812</v>
      </c>
      <c r="B982" t="s">
        <v>61</v>
      </c>
      <c r="H982">
        <v>107072</v>
      </c>
      <c r="M982">
        <v>3505</v>
      </c>
      <c r="N982">
        <v>48036</v>
      </c>
      <c r="O982">
        <v>0.157</v>
      </c>
      <c r="P982">
        <v>33.81</v>
      </c>
      <c r="R982">
        <f t="shared" si="30"/>
        <v>0</v>
      </c>
      <c r="S982" s="3">
        <f t="shared" si="31"/>
        <v>0</v>
      </c>
    </row>
    <row r="983" spans="1:19" x14ac:dyDescent="0.3">
      <c r="A983" s="5">
        <v>44813</v>
      </c>
      <c r="B983" t="s">
        <v>61</v>
      </c>
      <c r="H983">
        <v>107072</v>
      </c>
      <c r="M983">
        <v>3505</v>
      </c>
      <c r="N983">
        <v>48036</v>
      </c>
      <c r="O983">
        <v>0.157</v>
      </c>
      <c r="P983">
        <v>33.81</v>
      </c>
      <c r="R983">
        <f t="shared" si="30"/>
        <v>0</v>
      </c>
      <c r="S983" s="3">
        <f t="shared" si="31"/>
        <v>0</v>
      </c>
    </row>
    <row r="984" spans="1:19" x14ac:dyDescent="0.3">
      <c r="A984" s="5">
        <v>44814</v>
      </c>
      <c r="B984" t="s">
        <v>61</v>
      </c>
      <c r="H984">
        <v>107072</v>
      </c>
      <c r="M984">
        <v>3505</v>
      </c>
      <c r="N984">
        <v>48036</v>
      </c>
      <c r="O984">
        <v>0.157</v>
      </c>
      <c r="P984">
        <v>33.81</v>
      </c>
      <c r="R984">
        <f t="shared" si="30"/>
        <v>0</v>
      </c>
      <c r="S984" s="3">
        <f t="shared" si="31"/>
        <v>0</v>
      </c>
    </row>
    <row r="985" spans="1:19" x14ac:dyDescent="0.3">
      <c r="A985" s="5">
        <v>44815</v>
      </c>
      <c r="B985" t="s">
        <v>61</v>
      </c>
      <c r="H985">
        <v>107072</v>
      </c>
      <c r="M985">
        <v>3505</v>
      </c>
      <c r="N985">
        <v>48036</v>
      </c>
      <c r="O985">
        <v>0.157</v>
      </c>
      <c r="P985">
        <v>33.81</v>
      </c>
      <c r="R985">
        <f t="shared" si="30"/>
        <v>0</v>
      </c>
      <c r="S985" s="3">
        <f t="shared" si="31"/>
        <v>0</v>
      </c>
    </row>
    <row r="986" spans="1:19" x14ac:dyDescent="0.3">
      <c r="A986" s="5">
        <v>44816</v>
      </c>
      <c r="B986" t="s">
        <v>61</v>
      </c>
      <c r="H986">
        <v>107072</v>
      </c>
      <c r="M986">
        <v>3505</v>
      </c>
      <c r="N986">
        <v>48036</v>
      </c>
      <c r="O986">
        <v>0.157</v>
      </c>
      <c r="P986">
        <v>33.81</v>
      </c>
      <c r="R986">
        <f t="shared" si="30"/>
        <v>0</v>
      </c>
      <c r="S986" s="3">
        <f t="shared" si="31"/>
        <v>0</v>
      </c>
    </row>
    <row r="987" spans="1:19" x14ac:dyDescent="0.3">
      <c r="A987" s="5">
        <v>44817</v>
      </c>
      <c r="B987" t="s">
        <v>61</v>
      </c>
      <c r="C987">
        <v>57015910</v>
      </c>
      <c r="D987">
        <v>26718186</v>
      </c>
      <c r="E987">
        <v>22324933</v>
      </c>
      <c r="F987">
        <v>7972791</v>
      </c>
      <c r="H987">
        <v>107072</v>
      </c>
      <c r="I987">
        <v>186.65</v>
      </c>
      <c r="J987">
        <v>87.46</v>
      </c>
      <c r="K987">
        <v>73.08</v>
      </c>
      <c r="L987">
        <v>26.1</v>
      </c>
      <c r="M987">
        <v>3505</v>
      </c>
      <c r="N987">
        <v>48036</v>
      </c>
      <c r="O987">
        <v>0.157</v>
      </c>
      <c r="P987">
        <v>33.44</v>
      </c>
      <c r="R987">
        <f t="shared" si="30"/>
        <v>14.379999999999995</v>
      </c>
      <c r="S987" s="3">
        <f t="shared" si="31"/>
        <v>0.80269999999999997</v>
      </c>
    </row>
    <row r="988" spans="1:19" x14ac:dyDescent="0.3">
      <c r="A988" s="5">
        <v>44818</v>
      </c>
      <c r="B988" t="s">
        <v>61</v>
      </c>
      <c r="H988">
        <v>102413</v>
      </c>
      <c r="M988">
        <v>3353</v>
      </c>
      <c r="N988">
        <v>46296</v>
      </c>
      <c r="O988">
        <v>0.152</v>
      </c>
      <c r="P988">
        <v>33.44</v>
      </c>
      <c r="R988">
        <f t="shared" si="30"/>
        <v>0</v>
      </c>
      <c r="S988" s="3">
        <f t="shared" si="31"/>
        <v>0</v>
      </c>
    </row>
    <row r="989" spans="1:19" x14ac:dyDescent="0.3">
      <c r="A989" s="5">
        <v>44819</v>
      </c>
      <c r="B989" t="s">
        <v>61</v>
      </c>
      <c r="H989">
        <v>97755</v>
      </c>
      <c r="M989">
        <v>3200</v>
      </c>
      <c r="N989">
        <v>44556</v>
      </c>
      <c r="O989">
        <v>0.14599999999999999</v>
      </c>
      <c r="P989">
        <v>33.44</v>
      </c>
      <c r="R989">
        <f t="shared" si="30"/>
        <v>0</v>
      </c>
      <c r="S989" s="3">
        <f t="shared" si="31"/>
        <v>0</v>
      </c>
    </row>
    <row r="990" spans="1:19" x14ac:dyDescent="0.3">
      <c r="A990" s="5">
        <v>44820</v>
      </c>
      <c r="B990" t="s">
        <v>61</v>
      </c>
      <c r="H990">
        <v>93096</v>
      </c>
      <c r="M990">
        <v>3048</v>
      </c>
      <c r="N990">
        <v>42816</v>
      </c>
      <c r="O990">
        <v>0.14000000000000001</v>
      </c>
      <c r="P990">
        <v>33.44</v>
      </c>
      <c r="R990">
        <f t="shared" si="30"/>
        <v>0</v>
      </c>
      <c r="S990" s="3">
        <f t="shared" si="31"/>
        <v>0</v>
      </c>
    </row>
    <row r="991" spans="1:19" x14ac:dyDescent="0.3">
      <c r="A991" s="5">
        <v>44821</v>
      </c>
      <c r="B991" t="s">
        <v>61</v>
      </c>
      <c r="H991">
        <v>88437</v>
      </c>
      <c r="M991">
        <v>2895</v>
      </c>
      <c r="N991">
        <v>41076</v>
      </c>
      <c r="O991">
        <v>0.13400000000000001</v>
      </c>
      <c r="P991">
        <v>33.44</v>
      </c>
      <c r="R991">
        <f t="shared" si="30"/>
        <v>0</v>
      </c>
      <c r="S991" s="3">
        <f t="shared" si="31"/>
        <v>0</v>
      </c>
    </row>
    <row r="992" spans="1:19" x14ac:dyDescent="0.3">
      <c r="A992" s="5">
        <v>44822</v>
      </c>
      <c r="B992" t="s">
        <v>61</v>
      </c>
      <c r="H992">
        <v>83778</v>
      </c>
      <c r="M992">
        <v>2743</v>
      </c>
      <c r="N992">
        <v>39336</v>
      </c>
      <c r="O992">
        <v>0.129</v>
      </c>
      <c r="P992">
        <v>33.44</v>
      </c>
      <c r="R992">
        <f t="shared" si="30"/>
        <v>0</v>
      </c>
      <c r="S992" s="3">
        <f t="shared" si="31"/>
        <v>0</v>
      </c>
    </row>
    <row r="993" spans="1:19" x14ac:dyDescent="0.3">
      <c r="A993" s="5">
        <v>44823</v>
      </c>
      <c r="B993" t="s">
        <v>61</v>
      </c>
      <c r="H993">
        <v>79119</v>
      </c>
      <c r="M993">
        <v>2590</v>
      </c>
      <c r="N993">
        <v>37596</v>
      </c>
      <c r="O993">
        <v>0.123</v>
      </c>
      <c r="P993">
        <v>33.44</v>
      </c>
      <c r="R993">
        <f t="shared" si="30"/>
        <v>0</v>
      </c>
      <c r="S993" s="3">
        <f t="shared" si="31"/>
        <v>0</v>
      </c>
    </row>
    <row r="994" spans="1:19" x14ac:dyDescent="0.3">
      <c r="A994" s="5">
        <v>44824</v>
      </c>
      <c r="B994" t="s">
        <v>61</v>
      </c>
      <c r="H994">
        <v>74460</v>
      </c>
      <c r="M994">
        <v>2438</v>
      </c>
      <c r="N994">
        <v>35856</v>
      </c>
      <c r="O994">
        <v>0.11700000000000001</v>
      </c>
      <c r="P994">
        <v>33.44</v>
      </c>
      <c r="R994">
        <f t="shared" si="30"/>
        <v>0</v>
      </c>
      <c r="S994" s="3">
        <f t="shared" si="31"/>
        <v>0</v>
      </c>
    </row>
    <row r="995" spans="1:19" x14ac:dyDescent="0.3">
      <c r="A995" s="5">
        <v>44825</v>
      </c>
      <c r="B995" t="s">
        <v>61</v>
      </c>
      <c r="H995">
        <v>74460</v>
      </c>
      <c r="M995">
        <v>2438</v>
      </c>
      <c r="N995">
        <v>35856</v>
      </c>
      <c r="O995">
        <v>0.11700000000000001</v>
      </c>
      <c r="P995">
        <v>33.44</v>
      </c>
      <c r="R995">
        <f t="shared" si="30"/>
        <v>0</v>
      </c>
      <c r="S995" s="3">
        <f t="shared" si="31"/>
        <v>0</v>
      </c>
    </row>
    <row r="996" spans="1:19" x14ac:dyDescent="0.3">
      <c r="A996" s="5">
        <v>44826</v>
      </c>
      <c r="B996" t="s">
        <v>61</v>
      </c>
      <c r="H996">
        <v>74460</v>
      </c>
      <c r="M996">
        <v>2438</v>
      </c>
      <c r="N996">
        <v>35856</v>
      </c>
      <c r="O996">
        <v>0.11700000000000001</v>
      </c>
      <c r="P996">
        <v>33.44</v>
      </c>
      <c r="R996">
        <f t="shared" si="30"/>
        <v>0</v>
      </c>
      <c r="S996" s="3">
        <f t="shared" si="31"/>
        <v>0</v>
      </c>
    </row>
    <row r="997" spans="1:19" x14ac:dyDescent="0.3">
      <c r="A997" s="5">
        <v>44827</v>
      </c>
      <c r="B997" t="s">
        <v>61</v>
      </c>
      <c r="H997">
        <v>74460</v>
      </c>
      <c r="M997">
        <v>2438</v>
      </c>
      <c r="N997">
        <v>35856</v>
      </c>
      <c r="O997">
        <v>0.11700000000000001</v>
      </c>
      <c r="P997">
        <v>33.44</v>
      </c>
      <c r="R997">
        <f t="shared" si="30"/>
        <v>0</v>
      </c>
      <c r="S997" s="3">
        <f t="shared" si="31"/>
        <v>0</v>
      </c>
    </row>
    <row r="998" spans="1:19" x14ac:dyDescent="0.3">
      <c r="A998" s="5">
        <v>44828</v>
      </c>
      <c r="B998" t="s">
        <v>61</v>
      </c>
      <c r="H998">
        <v>74460</v>
      </c>
      <c r="M998">
        <v>2438</v>
      </c>
      <c r="N998">
        <v>35856</v>
      </c>
      <c r="O998">
        <v>0.11700000000000001</v>
      </c>
      <c r="P998">
        <v>33.44</v>
      </c>
      <c r="R998">
        <f t="shared" si="30"/>
        <v>0</v>
      </c>
      <c r="S998" s="3">
        <f t="shared" si="31"/>
        <v>0</v>
      </c>
    </row>
    <row r="999" spans="1:19" x14ac:dyDescent="0.3">
      <c r="A999" s="5">
        <v>44829</v>
      </c>
      <c r="B999" t="s">
        <v>61</v>
      </c>
      <c r="C999">
        <v>57909436</v>
      </c>
      <c r="D999">
        <v>27148456</v>
      </c>
      <c r="E999">
        <v>22565230</v>
      </c>
      <c r="F999">
        <v>8195750</v>
      </c>
      <c r="H999">
        <v>74460</v>
      </c>
      <c r="I999">
        <v>189.57</v>
      </c>
      <c r="J999">
        <v>88.87</v>
      </c>
      <c r="K999">
        <v>73.87</v>
      </c>
      <c r="L999">
        <v>26.83</v>
      </c>
      <c r="M999">
        <v>2438</v>
      </c>
      <c r="N999">
        <v>35856</v>
      </c>
      <c r="O999">
        <v>0.11700000000000001</v>
      </c>
      <c r="P999">
        <v>33.299999999999997</v>
      </c>
      <c r="R999">
        <f t="shared" si="30"/>
        <v>15</v>
      </c>
      <c r="S999" s="3">
        <f t="shared" si="31"/>
        <v>0.81370000000000009</v>
      </c>
    </row>
    <row r="1000" spans="1:19" x14ac:dyDescent="0.3">
      <c r="A1000" s="5">
        <v>44830</v>
      </c>
      <c r="B1000" t="s">
        <v>61</v>
      </c>
      <c r="H1000">
        <v>72629</v>
      </c>
      <c r="M1000">
        <v>2378</v>
      </c>
      <c r="N1000">
        <v>32705</v>
      </c>
      <c r="O1000">
        <v>0.107</v>
      </c>
      <c r="P1000">
        <v>33.299999999999997</v>
      </c>
      <c r="R1000">
        <f t="shared" si="30"/>
        <v>0</v>
      </c>
      <c r="S1000" s="3">
        <f t="shared" si="31"/>
        <v>0</v>
      </c>
    </row>
    <row r="1001" spans="1:19" x14ac:dyDescent="0.3">
      <c r="A1001" s="5">
        <v>44831</v>
      </c>
      <c r="B1001" t="s">
        <v>61</v>
      </c>
      <c r="H1001">
        <v>70798</v>
      </c>
      <c r="M1001">
        <v>2318</v>
      </c>
      <c r="N1001">
        <v>29555</v>
      </c>
      <c r="O1001">
        <v>9.7000000000000003E-2</v>
      </c>
      <c r="P1001">
        <v>33.299999999999997</v>
      </c>
      <c r="R1001">
        <f t="shared" si="30"/>
        <v>0</v>
      </c>
      <c r="S1001" s="3">
        <f t="shared" si="31"/>
        <v>0</v>
      </c>
    </row>
    <row r="1002" spans="1:19" x14ac:dyDescent="0.3">
      <c r="A1002" s="5">
        <v>44832</v>
      </c>
      <c r="B1002" t="s">
        <v>61</v>
      </c>
      <c r="C1002">
        <v>58094360</v>
      </c>
      <c r="D1002">
        <v>27189865</v>
      </c>
      <c r="E1002">
        <v>22667676</v>
      </c>
      <c r="F1002">
        <v>8236819</v>
      </c>
      <c r="H1002">
        <v>68967</v>
      </c>
      <c r="I1002">
        <v>190.18</v>
      </c>
      <c r="J1002">
        <v>89.01</v>
      </c>
      <c r="K1002">
        <v>74.2</v>
      </c>
      <c r="L1002">
        <v>26.96</v>
      </c>
      <c r="M1002">
        <v>2258</v>
      </c>
      <c r="N1002">
        <v>26405</v>
      </c>
      <c r="O1002">
        <v>8.5999999999999993E-2</v>
      </c>
      <c r="P1002">
        <v>33.24</v>
      </c>
      <c r="R1002">
        <f t="shared" si="30"/>
        <v>14.810000000000002</v>
      </c>
      <c r="S1002" s="3">
        <f t="shared" si="31"/>
        <v>0.81605000000000005</v>
      </c>
    </row>
    <row r="1003" spans="1:19" x14ac:dyDescent="0.3">
      <c r="A1003" s="5">
        <v>44833</v>
      </c>
      <c r="B1003" t="s">
        <v>61</v>
      </c>
      <c r="H1003">
        <v>64899</v>
      </c>
      <c r="M1003">
        <v>2125</v>
      </c>
      <c r="N1003">
        <v>21860</v>
      </c>
      <c r="O1003">
        <v>7.1999999999999995E-2</v>
      </c>
      <c r="P1003">
        <v>33.24</v>
      </c>
      <c r="R1003">
        <f t="shared" si="30"/>
        <v>0</v>
      </c>
      <c r="S1003" s="3">
        <f t="shared" si="31"/>
        <v>0</v>
      </c>
    </row>
    <row r="1004" spans="1:19" x14ac:dyDescent="0.3">
      <c r="A1004" s="5">
        <v>44834</v>
      </c>
      <c r="B1004" t="s">
        <v>61</v>
      </c>
      <c r="H1004">
        <v>60832</v>
      </c>
      <c r="M1004">
        <v>1991</v>
      </c>
      <c r="N1004">
        <v>17315</v>
      </c>
      <c r="O1004">
        <v>5.7000000000000002E-2</v>
      </c>
      <c r="P1004">
        <v>33.24</v>
      </c>
      <c r="R1004">
        <f t="shared" si="30"/>
        <v>0</v>
      </c>
      <c r="S1004" s="3">
        <f t="shared" si="31"/>
        <v>0</v>
      </c>
    </row>
    <row r="1005" spans="1:19" x14ac:dyDescent="0.3">
      <c r="A1005" s="5">
        <v>44835</v>
      </c>
      <c r="B1005" t="s">
        <v>61</v>
      </c>
      <c r="H1005">
        <v>56764</v>
      </c>
      <c r="M1005">
        <v>1858</v>
      </c>
      <c r="N1005">
        <v>12771</v>
      </c>
      <c r="O1005">
        <v>4.2000000000000003E-2</v>
      </c>
      <c r="P1005">
        <v>33.24</v>
      </c>
      <c r="R1005">
        <f t="shared" si="30"/>
        <v>0</v>
      </c>
      <c r="S1005" s="3">
        <f t="shared" si="31"/>
        <v>0</v>
      </c>
    </row>
    <row r="1006" spans="1:19" x14ac:dyDescent="0.3">
      <c r="A1006" s="5">
        <v>44836</v>
      </c>
      <c r="B1006" t="s">
        <v>61</v>
      </c>
      <c r="H1006">
        <v>52697</v>
      </c>
      <c r="M1006">
        <v>1725</v>
      </c>
      <c r="N1006">
        <v>8226</v>
      </c>
      <c r="O1006">
        <v>2.7E-2</v>
      </c>
      <c r="P1006">
        <v>33.24</v>
      </c>
      <c r="R1006">
        <f t="shared" si="30"/>
        <v>0</v>
      </c>
      <c r="S1006" s="3">
        <f t="shared" si="31"/>
        <v>0</v>
      </c>
    </row>
    <row r="1007" spans="1:19" x14ac:dyDescent="0.3">
      <c r="A1007" s="5">
        <v>44837</v>
      </c>
      <c r="B1007" t="s">
        <v>61</v>
      </c>
      <c r="H1007">
        <v>50461</v>
      </c>
      <c r="M1007">
        <v>1652</v>
      </c>
      <c r="N1007">
        <v>6832</v>
      </c>
      <c r="O1007">
        <v>2.1999999999999999E-2</v>
      </c>
      <c r="P1007">
        <v>33.24</v>
      </c>
      <c r="R1007">
        <f t="shared" si="30"/>
        <v>0</v>
      </c>
      <c r="S1007" s="3">
        <f t="shared" si="31"/>
        <v>0</v>
      </c>
    </row>
    <row r="1008" spans="1:19" x14ac:dyDescent="0.3">
      <c r="A1008" s="5">
        <v>44838</v>
      </c>
      <c r="B1008" t="s">
        <v>61</v>
      </c>
      <c r="H1008">
        <v>48224</v>
      </c>
      <c r="M1008">
        <v>1579</v>
      </c>
      <c r="N1008">
        <v>5437</v>
      </c>
      <c r="O1008">
        <v>1.7999999999999999E-2</v>
      </c>
      <c r="P1008">
        <v>33.24</v>
      </c>
      <c r="R1008">
        <f t="shared" si="30"/>
        <v>0</v>
      </c>
      <c r="S1008" s="3">
        <f t="shared" si="31"/>
        <v>0</v>
      </c>
    </row>
    <row r="1009" spans="1:19" x14ac:dyDescent="0.3">
      <c r="A1009" s="5">
        <v>44839</v>
      </c>
      <c r="B1009" t="s">
        <v>61</v>
      </c>
      <c r="H1009">
        <v>45988</v>
      </c>
      <c r="M1009">
        <v>1505</v>
      </c>
      <c r="N1009">
        <v>4043</v>
      </c>
      <c r="O1009">
        <v>1.2999999999999999E-2</v>
      </c>
      <c r="P1009">
        <v>33.24</v>
      </c>
      <c r="R1009">
        <f t="shared" si="30"/>
        <v>0</v>
      </c>
      <c r="S1009" s="3">
        <f t="shared" si="31"/>
        <v>0</v>
      </c>
    </row>
    <row r="1010" spans="1:19" x14ac:dyDescent="0.3">
      <c r="A1010" s="5">
        <v>44840</v>
      </c>
      <c r="B1010" t="s">
        <v>61</v>
      </c>
      <c r="H1010">
        <v>45988</v>
      </c>
      <c r="M1010">
        <v>1505</v>
      </c>
      <c r="N1010">
        <v>4043</v>
      </c>
      <c r="O1010">
        <v>1.2999999999999999E-2</v>
      </c>
      <c r="P1010">
        <v>33.24</v>
      </c>
      <c r="R1010">
        <f t="shared" si="30"/>
        <v>0</v>
      </c>
      <c r="S1010" s="3">
        <f t="shared" si="31"/>
        <v>0</v>
      </c>
    </row>
    <row r="1011" spans="1:19" x14ac:dyDescent="0.3">
      <c r="A1011" s="5">
        <v>44841</v>
      </c>
      <c r="B1011" t="s">
        <v>61</v>
      </c>
      <c r="H1011">
        <v>45988</v>
      </c>
      <c r="M1011">
        <v>1505</v>
      </c>
      <c r="N1011">
        <v>4043</v>
      </c>
      <c r="O1011">
        <v>1.2999999999999999E-2</v>
      </c>
      <c r="P1011">
        <v>33.24</v>
      </c>
      <c r="R1011">
        <f t="shared" si="30"/>
        <v>0</v>
      </c>
      <c r="S1011" s="3">
        <f t="shared" si="31"/>
        <v>0</v>
      </c>
    </row>
    <row r="1012" spans="1:19" x14ac:dyDescent="0.3">
      <c r="A1012" s="5">
        <v>44842</v>
      </c>
      <c r="B1012" t="s">
        <v>61</v>
      </c>
      <c r="H1012">
        <v>45988</v>
      </c>
      <c r="M1012">
        <v>1505</v>
      </c>
      <c r="N1012">
        <v>4043</v>
      </c>
      <c r="O1012">
        <v>1.2999999999999999E-2</v>
      </c>
      <c r="P1012">
        <v>33.24</v>
      </c>
      <c r="R1012">
        <f t="shared" si="30"/>
        <v>0</v>
      </c>
      <c r="S1012" s="3">
        <f t="shared" si="31"/>
        <v>0</v>
      </c>
    </row>
    <row r="1013" spans="1:19" x14ac:dyDescent="0.3">
      <c r="A1013" s="5">
        <v>44843</v>
      </c>
      <c r="B1013" t="s">
        <v>61</v>
      </c>
      <c r="H1013">
        <v>45988</v>
      </c>
      <c r="M1013">
        <v>1505</v>
      </c>
      <c r="N1013">
        <v>4043</v>
      </c>
      <c r="O1013">
        <v>1.2999999999999999E-2</v>
      </c>
      <c r="P1013">
        <v>33.24</v>
      </c>
      <c r="R1013">
        <f t="shared" si="30"/>
        <v>0</v>
      </c>
      <c r="S1013" s="3">
        <f t="shared" si="31"/>
        <v>0</v>
      </c>
    </row>
    <row r="1014" spans="1:19" x14ac:dyDescent="0.3">
      <c r="A1014" s="5">
        <v>44844</v>
      </c>
      <c r="B1014" t="s">
        <v>61</v>
      </c>
      <c r="H1014">
        <v>45988</v>
      </c>
      <c r="M1014">
        <v>1505</v>
      </c>
      <c r="N1014">
        <v>4043</v>
      </c>
      <c r="O1014">
        <v>1.2999999999999999E-2</v>
      </c>
      <c r="P1014">
        <v>33.24</v>
      </c>
      <c r="R1014">
        <f t="shared" si="30"/>
        <v>0</v>
      </c>
      <c r="S1014" s="3">
        <f t="shared" si="31"/>
        <v>0</v>
      </c>
    </row>
    <row r="1015" spans="1:19" x14ac:dyDescent="0.3">
      <c r="A1015" s="5">
        <v>44845</v>
      </c>
      <c r="B1015" t="s">
        <v>61</v>
      </c>
      <c r="H1015">
        <v>45988</v>
      </c>
      <c r="M1015">
        <v>1505</v>
      </c>
      <c r="N1015">
        <v>4043</v>
      </c>
      <c r="O1015">
        <v>1.2999999999999999E-2</v>
      </c>
      <c r="P1015">
        <v>33.24</v>
      </c>
      <c r="R1015">
        <f t="shared" si="30"/>
        <v>0</v>
      </c>
      <c r="S1015" s="3">
        <f t="shared" si="31"/>
        <v>0</v>
      </c>
    </row>
    <row r="1016" spans="1:19" x14ac:dyDescent="0.3">
      <c r="A1016" s="5">
        <v>44846</v>
      </c>
      <c r="B1016" t="s">
        <v>61</v>
      </c>
      <c r="H1016">
        <v>45988</v>
      </c>
      <c r="M1016">
        <v>1505</v>
      </c>
      <c r="N1016">
        <v>4043</v>
      </c>
      <c r="O1016">
        <v>1.2999999999999999E-2</v>
      </c>
      <c r="P1016">
        <v>33.24</v>
      </c>
      <c r="R1016">
        <f t="shared" si="30"/>
        <v>0</v>
      </c>
      <c r="S1016" s="3">
        <f t="shared" si="31"/>
        <v>0</v>
      </c>
    </row>
    <row r="1017" spans="1:19" x14ac:dyDescent="0.3">
      <c r="A1017" s="5">
        <v>44847</v>
      </c>
      <c r="B1017" t="s">
        <v>61</v>
      </c>
      <c r="H1017">
        <v>45988</v>
      </c>
      <c r="M1017">
        <v>1505</v>
      </c>
      <c r="N1017">
        <v>4043</v>
      </c>
      <c r="O1017">
        <v>1.2999999999999999E-2</v>
      </c>
      <c r="P1017">
        <v>33.24</v>
      </c>
      <c r="R1017">
        <f t="shared" si="30"/>
        <v>0</v>
      </c>
      <c r="S1017" s="3">
        <f t="shared" si="31"/>
        <v>0</v>
      </c>
    </row>
    <row r="1018" spans="1:19" x14ac:dyDescent="0.3">
      <c r="A1018" s="5">
        <v>44848</v>
      </c>
      <c r="B1018" t="s">
        <v>61</v>
      </c>
      <c r="H1018">
        <v>45988</v>
      </c>
      <c r="M1018">
        <v>1505</v>
      </c>
      <c r="N1018">
        <v>4043</v>
      </c>
      <c r="O1018">
        <v>1.2999999999999999E-2</v>
      </c>
      <c r="P1018">
        <v>33.24</v>
      </c>
      <c r="R1018">
        <f t="shared" si="30"/>
        <v>0</v>
      </c>
      <c r="S1018" s="3">
        <f t="shared" si="31"/>
        <v>0</v>
      </c>
    </row>
    <row r="1019" spans="1:19" x14ac:dyDescent="0.3">
      <c r="A1019" s="5">
        <v>44849</v>
      </c>
      <c r="B1019" t="s">
        <v>61</v>
      </c>
      <c r="H1019">
        <v>45988</v>
      </c>
      <c r="M1019">
        <v>1505</v>
      </c>
      <c r="N1019">
        <v>4043</v>
      </c>
      <c r="O1019">
        <v>1.2999999999999999E-2</v>
      </c>
      <c r="P1019">
        <v>33.24</v>
      </c>
      <c r="R1019">
        <f t="shared" si="30"/>
        <v>0</v>
      </c>
      <c r="S1019" s="3">
        <f t="shared" si="31"/>
        <v>0</v>
      </c>
    </row>
    <row r="1020" spans="1:19" x14ac:dyDescent="0.3">
      <c r="A1020" s="5">
        <v>44850</v>
      </c>
      <c r="B1020" t="s">
        <v>61</v>
      </c>
      <c r="H1020">
        <v>45988</v>
      </c>
      <c r="M1020">
        <v>1505</v>
      </c>
      <c r="N1020">
        <v>4043</v>
      </c>
      <c r="O1020">
        <v>1.2999999999999999E-2</v>
      </c>
      <c r="P1020">
        <v>33.24</v>
      </c>
      <c r="R1020">
        <f t="shared" si="30"/>
        <v>0</v>
      </c>
      <c r="S1020" s="3">
        <f t="shared" si="31"/>
        <v>0</v>
      </c>
    </row>
    <row r="1021" spans="1:19" x14ac:dyDescent="0.3">
      <c r="A1021" s="5">
        <v>44851</v>
      </c>
      <c r="B1021" t="s">
        <v>61</v>
      </c>
      <c r="H1021">
        <v>45988</v>
      </c>
      <c r="M1021">
        <v>1505</v>
      </c>
      <c r="N1021">
        <v>4043</v>
      </c>
      <c r="O1021">
        <v>1.2999999999999999E-2</v>
      </c>
      <c r="P1021">
        <v>33.24</v>
      </c>
      <c r="R1021">
        <f t="shared" si="30"/>
        <v>0</v>
      </c>
      <c r="S1021" s="3">
        <f t="shared" si="31"/>
        <v>0</v>
      </c>
    </row>
    <row r="1022" spans="1:19" x14ac:dyDescent="0.3">
      <c r="A1022" s="5">
        <v>44852</v>
      </c>
      <c r="B1022" t="s">
        <v>61</v>
      </c>
      <c r="C1022">
        <v>59014127</v>
      </c>
      <c r="E1022">
        <v>23310071</v>
      </c>
      <c r="F1022">
        <v>8412774</v>
      </c>
      <c r="H1022">
        <v>45988</v>
      </c>
      <c r="I1022">
        <v>193.19</v>
      </c>
      <c r="K1022">
        <v>76.31</v>
      </c>
      <c r="L1022">
        <v>27.54</v>
      </c>
      <c r="M1022">
        <v>1505</v>
      </c>
      <c r="N1022">
        <v>4043</v>
      </c>
      <c r="O1022">
        <v>1.2999999999999999E-2</v>
      </c>
      <c r="P1022">
        <v>32.869999999999997</v>
      </c>
      <c r="R1022">
        <f t="shared" si="30"/>
        <v>-76.31</v>
      </c>
      <c r="S1022" s="3">
        <f t="shared" si="31"/>
        <v>0.7631</v>
      </c>
    </row>
    <row r="1023" spans="1:19" x14ac:dyDescent="0.3">
      <c r="A1023" s="5">
        <v>44853</v>
      </c>
      <c r="B1023" t="s">
        <v>61</v>
      </c>
      <c r="H1023">
        <v>42392</v>
      </c>
      <c r="M1023">
        <v>1388</v>
      </c>
      <c r="N1023">
        <v>4043</v>
      </c>
      <c r="O1023">
        <v>1.2999999999999999E-2</v>
      </c>
      <c r="P1023">
        <v>32.869999999999997</v>
      </c>
      <c r="R1023">
        <f t="shared" si="30"/>
        <v>0</v>
      </c>
      <c r="S1023" s="3">
        <f t="shared" si="31"/>
        <v>0</v>
      </c>
    </row>
    <row r="1024" spans="1:19" x14ac:dyDescent="0.3">
      <c r="A1024" s="5">
        <v>44854</v>
      </c>
      <c r="B1024" t="s">
        <v>61</v>
      </c>
      <c r="H1024">
        <v>38796</v>
      </c>
      <c r="M1024">
        <v>1270</v>
      </c>
      <c r="N1024">
        <v>4043</v>
      </c>
      <c r="O1024">
        <v>1.2999999999999999E-2</v>
      </c>
      <c r="P1024">
        <v>32.869999999999997</v>
      </c>
      <c r="R1024">
        <f t="shared" si="30"/>
        <v>0</v>
      </c>
      <c r="S1024" s="3">
        <f t="shared" si="31"/>
        <v>0</v>
      </c>
    </row>
    <row r="1025" spans="1:19" x14ac:dyDescent="0.3">
      <c r="A1025" s="5">
        <v>44855</v>
      </c>
      <c r="B1025" t="s">
        <v>61</v>
      </c>
      <c r="H1025">
        <v>35200</v>
      </c>
      <c r="M1025">
        <v>1152</v>
      </c>
      <c r="N1025">
        <v>4043</v>
      </c>
      <c r="O1025">
        <v>1.2999999999999999E-2</v>
      </c>
      <c r="P1025">
        <v>32.869999999999997</v>
      </c>
      <c r="R1025">
        <f t="shared" si="30"/>
        <v>0</v>
      </c>
      <c r="S1025" s="3">
        <f t="shared" si="31"/>
        <v>0</v>
      </c>
    </row>
    <row r="1026" spans="1:19" x14ac:dyDescent="0.3">
      <c r="A1026" s="5">
        <v>44856</v>
      </c>
      <c r="B1026" t="s">
        <v>61</v>
      </c>
      <c r="H1026">
        <v>31604</v>
      </c>
      <c r="M1026">
        <v>1035</v>
      </c>
      <c r="N1026">
        <v>4043</v>
      </c>
      <c r="O1026">
        <v>1.2999999999999999E-2</v>
      </c>
      <c r="P1026">
        <v>32.869999999999997</v>
      </c>
      <c r="R1026">
        <f t="shared" si="30"/>
        <v>0</v>
      </c>
      <c r="S1026" s="3">
        <f t="shared" si="31"/>
        <v>0</v>
      </c>
    </row>
    <row r="1027" spans="1:19" x14ac:dyDescent="0.3">
      <c r="A1027" s="5">
        <v>44857</v>
      </c>
      <c r="B1027" t="s">
        <v>61</v>
      </c>
      <c r="C1027">
        <v>59118206</v>
      </c>
      <c r="D1027">
        <v>27290944</v>
      </c>
      <c r="E1027">
        <v>23389561</v>
      </c>
      <c r="F1027">
        <v>8437701</v>
      </c>
      <c r="H1027">
        <v>28008</v>
      </c>
      <c r="I1027">
        <v>193.53</v>
      </c>
      <c r="J1027">
        <v>89.34</v>
      </c>
      <c r="K1027">
        <v>76.569999999999993</v>
      </c>
      <c r="L1027">
        <v>27.62</v>
      </c>
      <c r="M1027">
        <v>917</v>
      </c>
      <c r="N1027">
        <v>4043</v>
      </c>
      <c r="O1027">
        <v>1.2999999999999999E-2</v>
      </c>
      <c r="P1027">
        <v>32.82</v>
      </c>
      <c r="R1027">
        <f t="shared" si="30"/>
        <v>12.77000000000001</v>
      </c>
      <c r="S1027" s="3">
        <f t="shared" si="31"/>
        <v>0.82955000000000001</v>
      </c>
    </row>
    <row r="1028" spans="1:19" x14ac:dyDescent="0.3">
      <c r="A1028" s="5">
        <v>44858</v>
      </c>
      <c r="B1028" t="s">
        <v>61</v>
      </c>
      <c r="H1028">
        <v>24234</v>
      </c>
      <c r="M1028">
        <v>793</v>
      </c>
      <c r="N1028">
        <v>3692</v>
      </c>
      <c r="O1028">
        <v>1.2E-2</v>
      </c>
      <c r="P1028">
        <v>32.82</v>
      </c>
      <c r="R1028">
        <f t="shared" si="30"/>
        <v>0</v>
      </c>
      <c r="S1028" s="3">
        <f t="shared" si="31"/>
        <v>0</v>
      </c>
    </row>
    <row r="1029" spans="1:19" x14ac:dyDescent="0.3">
      <c r="A1029" s="5">
        <v>44859</v>
      </c>
      <c r="B1029" t="s">
        <v>61</v>
      </c>
      <c r="H1029">
        <v>20460</v>
      </c>
      <c r="M1029">
        <v>670</v>
      </c>
      <c r="N1029">
        <v>3340</v>
      </c>
      <c r="O1029">
        <v>1.0999999999999999E-2</v>
      </c>
      <c r="P1029">
        <v>32.82</v>
      </c>
      <c r="R1029">
        <f t="shared" si="30"/>
        <v>0</v>
      </c>
      <c r="S1029" s="3">
        <f t="shared" si="31"/>
        <v>0</v>
      </c>
    </row>
    <row r="1030" spans="1:19" x14ac:dyDescent="0.3">
      <c r="A1030" s="5">
        <v>44860</v>
      </c>
      <c r="B1030" t="s">
        <v>61</v>
      </c>
      <c r="H1030">
        <v>20282</v>
      </c>
      <c r="M1030">
        <v>664</v>
      </c>
      <c r="N1030">
        <v>2989</v>
      </c>
      <c r="O1030">
        <v>0.01</v>
      </c>
      <c r="P1030">
        <v>32.82</v>
      </c>
      <c r="R1030">
        <f t="shared" ref="R1030:R1093" si="32">J1030-K1030</f>
        <v>0</v>
      </c>
      <c r="S1030" s="3">
        <f t="shared" ref="S1030:S1093" si="33">MIN(1, (0.5*MAX(R1030,0) + 1*K1030)/100 )</f>
        <v>0</v>
      </c>
    </row>
    <row r="1031" spans="1:19" x14ac:dyDescent="0.3">
      <c r="A1031" s="5">
        <v>44861</v>
      </c>
      <c r="B1031" t="s">
        <v>61</v>
      </c>
      <c r="H1031">
        <v>20104</v>
      </c>
      <c r="M1031">
        <v>658</v>
      </c>
      <c r="N1031">
        <v>2638</v>
      </c>
      <c r="O1031">
        <v>8.9999999999999993E-3</v>
      </c>
      <c r="P1031">
        <v>32.82</v>
      </c>
      <c r="R1031">
        <f t="shared" si="32"/>
        <v>0</v>
      </c>
      <c r="S1031" s="3">
        <f t="shared" si="33"/>
        <v>0</v>
      </c>
    </row>
    <row r="1032" spans="1:19" x14ac:dyDescent="0.3">
      <c r="A1032" s="5">
        <v>44862</v>
      </c>
      <c r="B1032" t="s">
        <v>61</v>
      </c>
      <c r="H1032">
        <v>19926</v>
      </c>
      <c r="M1032">
        <v>652</v>
      </c>
      <c r="N1032">
        <v>2286</v>
      </c>
      <c r="O1032">
        <v>7.0000000000000001E-3</v>
      </c>
      <c r="P1032">
        <v>32.82</v>
      </c>
      <c r="R1032">
        <f t="shared" si="32"/>
        <v>0</v>
      </c>
      <c r="S1032" s="3">
        <f t="shared" si="33"/>
        <v>0</v>
      </c>
    </row>
    <row r="1033" spans="1:19" x14ac:dyDescent="0.3">
      <c r="A1033" s="5">
        <v>44863</v>
      </c>
      <c r="B1033" t="s">
        <v>61</v>
      </c>
      <c r="H1033">
        <v>19749</v>
      </c>
      <c r="M1033">
        <v>646</v>
      </c>
      <c r="N1033">
        <v>1935</v>
      </c>
      <c r="O1033">
        <v>6.0000000000000001E-3</v>
      </c>
      <c r="P1033">
        <v>32.82</v>
      </c>
      <c r="R1033">
        <f t="shared" si="32"/>
        <v>0</v>
      </c>
      <c r="S1033" s="3">
        <f t="shared" si="33"/>
        <v>0</v>
      </c>
    </row>
    <row r="1034" spans="1:19" x14ac:dyDescent="0.3">
      <c r="A1034" s="5">
        <v>44864</v>
      </c>
      <c r="B1034" t="s">
        <v>61</v>
      </c>
      <c r="H1034">
        <v>19571</v>
      </c>
      <c r="M1034">
        <v>641</v>
      </c>
      <c r="N1034">
        <v>1583</v>
      </c>
      <c r="O1034">
        <v>5.0000000000000001E-3</v>
      </c>
      <c r="P1034">
        <v>32.82</v>
      </c>
      <c r="R1034">
        <f t="shared" si="32"/>
        <v>0</v>
      </c>
      <c r="S1034" s="3">
        <f t="shared" si="33"/>
        <v>0</v>
      </c>
    </row>
    <row r="1035" spans="1:19" x14ac:dyDescent="0.3">
      <c r="A1035" s="5">
        <v>44865</v>
      </c>
      <c r="B1035" t="s">
        <v>61</v>
      </c>
      <c r="H1035">
        <v>19571</v>
      </c>
      <c r="M1035">
        <v>641</v>
      </c>
      <c r="N1035">
        <v>1583</v>
      </c>
      <c r="O1035">
        <v>5.0000000000000001E-3</v>
      </c>
      <c r="P1035">
        <v>32.82</v>
      </c>
      <c r="R1035">
        <f t="shared" si="32"/>
        <v>0</v>
      </c>
      <c r="S1035" s="3">
        <f t="shared" si="33"/>
        <v>0</v>
      </c>
    </row>
    <row r="1036" spans="1:19" x14ac:dyDescent="0.3">
      <c r="A1036" s="5">
        <v>44866</v>
      </c>
      <c r="B1036" t="s">
        <v>61</v>
      </c>
      <c r="H1036">
        <v>19571</v>
      </c>
      <c r="M1036">
        <v>641</v>
      </c>
      <c r="N1036">
        <v>1583</v>
      </c>
      <c r="O1036">
        <v>5.0000000000000001E-3</v>
      </c>
      <c r="P1036">
        <v>32.82</v>
      </c>
      <c r="R1036">
        <f t="shared" si="32"/>
        <v>0</v>
      </c>
      <c r="S1036" s="3">
        <f t="shared" si="33"/>
        <v>0</v>
      </c>
    </row>
    <row r="1037" spans="1:19" x14ac:dyDescent="0.3">
      <c r="A1037" s="5">
        <v>44867</v>
      </c>
      <c r="B1037" t="s">
        <v>61</v>
      </c>
      <c r="H1037">
        <v>19571</v>
      </c>
      <c r="M1037">
        <v>641</v>
      </c>
      <c r="N1037">
        <v>1583</v>
      </c>
      <c r="O1037">
        <v>5.0000000000000001E-3</v>
      </c>
      <c r="P1037">
        <v>32.82</v>
      </c>
      <c r="R1037">
        <f t="shared" si="32"/>
        <v>0</v>
      </c>
      <c r="S1037" s="3">
        <f t="shared" si="33"/>
        <v>0</v>
      </c>
    </row>
    <row r="1038" spans="1:19" x14ac:dyDescent="0.3">
      <c r="A1038" s="5">
        <v>44868</v>
      </c>
      <c r="B1038" t="s">
        <v>61</v>
      </c>
      <c r="H1038">
        <v>19571</v>
      </c>
      <c r="M1038">
        <v>641</v>
      </c>
      <c r="N1038">
        <v>1583</v>
      </c>
      <c r="O1038">
        <v>5.0000000000000001E-3</v>
      </c>
      <c r="P1038">
        <v>32.82</v>
      </c>
      <c r="R1038">
        <f t="shared" si="32"/>
        <v>0</v>
      </c>
      <c r="S1038" s="3">
        <f t="shared" si="33"/>
        <v>0</v>
      </c>
    </row>
    <row r="1039" spans="1:19" x14ac:dyDescent="0.3">
      <c r="A1039" s="5">
        <v>44869</v>
      </c>
      <c r="B1039" t="s">
        <v>61</v>
      </c>
      <c r="H1039">
        <v>19571</v>
      </c>
      <c r="M1039">
        <v>641</v>
      </c>
      <c r="N1039">
        <v>1583</v>
      </c>
      <c r="O1039">
        <v>5.0000000000000001E-3</v>
      </c>
      <c r="P1039">
        <v>32.82</v>
      </c>
      <c r="R1039">
        <f t="shared" si="32"/>
        <v>0</v>
      </c>
      <c r="S1039" s="3">
        <f t="shared" si="33"/>
        <v>0</v>
      </c>
    </row>
    <row r="1040" spans="1:19" x14ac:dyDescent="0.3">
      <c r="A1040" s="5">
        <v>44870</v>
      </c>
      <c r="B1040" t="s">
        <v>61</v>
      </c>
      <c r="H1040">
        <v>19571</v>
      </c>
      <c r="M1040">
        <v>641</v>
      </c>
      <c r="N1040">
        <v>1583</v>
      </c>
      <c r="O1040">
        <v>5.0000000000000001E-3</v>
      </c>
      <c r="P1040">
        <v>32.82</v>
      </c>
      <c r="R1040">
        <f t="shared" si="32"/>
        <v>0</v>
      </c>
      <c r="S1040" s="3">
        <f t="shared" si="33"/>
        <v>0</v>
      </c>
    </row>
    <row r="1041" spans="1:19" x14ac:dyDescent="0.3">
      <c r="A1041" s="5">
        <v>44871</v>
      </c>
      <c r="B1041" t="s">
        <v>61</v>
      </c>
      <c r="H1041">
        <v>19571</v>
      </c>
      <c r="M1041">
        <v>641</v>
      </c>
      <c r="N1041">
        <v>1583</v>
      </c>
      <c r="O1041">
        <v>5.0000000000000001E-3</v>
      </c>
      <c r="P1041">
        <v>32.82</v>
      </c>
      <c r="R1041">
        <f t="shared" si="32"/>
        <v>0</v>
      </c>
      <c r="S1041" s="3">
        <f t="shared" si="33"/>
        <v>0</v>
      </c>
    </row>
    <row r="1042" spans="1:19" x14ac:dyDescent="0.3">
      <c r="A1042" s="5">
        <v>44872</v>
      </c>
      <c r="B1042" t="s">
        <v>61</v>
      </c>
      <c r="H1042">
        <v>19571</v>
      </c>
      <c r="M1042">
        <v>641</v>
      </c>
      <c r="N1042">
        <v>1583</v>
      </c>
      <c r="O1042">
        <v>5.0000000000000001E-3</v>
      </c>
      <c r="P1042">
        <v>32.82</v>
      </c>
      <c r="R1042">
        <f t="shared" si="32"/>
        <v>0</v>
      </c>
      <c r="S1042" s="3">
        <f t="shared" si="33"/>
        <v>0</v>
      </c>
    </row>
    <row r="1043" spans="1:19" x14ac:dyDescent="0.3">
      <c r="A1043" s="5">
        <v>44873</v>
      </c>
      <c r="B1043" t="s">
        <v>61</v>
      </c>
      <c r="C1043">
        <v>59431338</v>
      </c>
      <c r="D1043">
        <v>27316278</v>
      </c>
      <c r="E1043">
        <v>23616893</v>
      </c>
      <c r="F1043">
        <v>8498167</v>
      </c>
      <c r="H1043">
        <v>19571</v>
      </c>
      <c r="I1043">
        <v>194.55</v>
      </c>
      <c r="J1043">
        <v>89.42</v>
      </c>
      <c r="K1043">
        <v>77.31</v>
      </c>
      <c r="L1043">
        <v>27.82</v>
      </c>
      <c r="M1043">
        <v>641</v>
      </c>
      <c r="N1043">
        <v>1583</v>
      </c>
      <c r="O1043">
        <v>5.0000000000000001E-3</v>
      </c>
      <c r="P1043">
        <v>32.69</v>
      </c>
      <c r="R1043">
        <f t="shared" si="32"/>
        <v>12.11</v>
      </c>
      <c r="S1043" s="3">
        <f t="shared" si="33"/>
        <v>0.83365000000000011</v>
      </c>
    </row>
    <row r="1044" spans="1:19" x14ac:dyDescent="0.3">
      <c r="A1044" s="5">
        <v>44874</v>
      </c>
      <c r="B1044" t="s">
        <v>61</v>
      </c>
      <c r="H1044">
        <v>21701</v>
      </c>
      <c r="M1044">
        <v>710</v>
      </c>
      <c r="N1044">
        <v>2178</v>
      </c>
      <c r="O1044">
        <v>7.0000000000000001E-3</v>
      </c>
      <c r="P1044">
        <v>32.69</v>
      </c>
      <c r="R1044">
        <f t="shared" si="32"/>
        <v>0</v>
      </c>
      <c r="S1044" s="3">
        <f t="shared" si="33"/>
        <v>0</v>
      </c>
    </row>
    <row r="1045" spans="1:19" x14ac:dyDescent="0.3">
      <c r="A1045" s="5">
        <v>44875</v>
      </c>
      <c r="B1045" t="s">
        <v>61</v>
      </c>
      <c r="H1045">
        <v>23831</v>
      </c>
      <c r="M1045">
        <v>780</v>
      </c>
      <c r="N1045">
        <v>2773</v>
      </c>
      <c r="O1045">
        <v>8.9999999999999993E-3</v>
      </c>
      <c r="P1045">
        <v>32.69</v>
      </c>
      <c r="R1045">
        <f t="shared" si="32"/>
        <v>0</v>
      </c>
      <c r="S1045" s="3">
        <f t="shared" si="33"/>
        <v>0</v>
      </c>
    </row>
    <row r="1046" spans="1:19" x14ac:dyDescent="0.3">
      <c r="A1046" s="5">
        <v>44876</v>
      </c>
      <c r="B1046" t="s">
        <v>61</v>
      </c>
      <c r="H1046">
        <v>25961</v>
      </c>
      <c r="M1046">
        <v>850</v>
      </c>
      <c r="N1046">
        <v>3367</v>
      </c>
      <c r="O1046">
        <v>1.0999999999999999E-2</v>
      </c>
      <c r="P1046">
        <v>32.69</v>
      </c>
      <c r="R1046">
        <f t="shared" si="32"/>
        <v>0</v>
      </c>
      <c r="S1046" s="3">
        <f t="shared" si="33"/>
        <v>0</v>
      </c>
    </row>
    <row r="1047" spans="1:19" x14ac:dyDescent="0.3">
      <c r="A1047" s="5">
        <v>44877</v>
      </c>
      <c r="B1047" t="s">
        <v>61</v>
      </c>
      <c r="H1047">
        <v>28091</v>
      </c>
      <c r="M1047">
        <v>920</v>
      </c>
      <c r="N1047">
        <v>3962</v>
      </c>
      <c r="O1047">
        <v>1.2999999999999999E-2</v>
      </c>
      <c r="P1047">
        <v>32.69</v>
      </c>
      <c r="R1047">
        <f t="shared" si="32"/>
        <v>0</v>
      </c>
      <c r="S1047" s="3">
        <f t="shared" si="33"/>
        <v>0</v>
      </c>
    </row>
    <row r="1048" spans="1:19" x14ac:dyDescent="0.3">
      <c r="A1048" s="5">
        <v>44878</v>
      </c>
      <c r="B1048" t="s">
        <v>61</v>
      </c>
      <c r="H1048">
        <v>30221</v>
      </c>
      <c r="M1048">
        <v>989</v>
      </c>
      <c r="N1048">
        <v>4556</v>
      </c>
      <c r="O1048">
        <v>1.4999999999999999E-2</v>
      </c>
      <c r="P1048">
        <v>32.69</v>
      </c>
      <c r="R1048">
        <f t="shared" si="32"/>
        <v>0</v>
      </c>
      <c r="S1048" s="3">
        <f t="shared" si="33"/>
        <v>0</v>
      </c>
    </row>
    <row r="1049" spans="1:19" x14ac:dyDescent="0.3">
      <c r="A1049" s="5">
        <v>44879</v>
      </c>
      <c r="B1049" t="s">
        <v>61</v>
      </c>
      <c r="H1049">
        <v>32351</v>
      </c>
      <c r="M1049">
        <v>1059</v>
      </c>
      <c r="N1049">
        <v>5151</v>
      </c>
      <c r="O1049">
        <v>1.7000000000000001E-2</v>
      </c>
      <c r="P1049">
        <v>32.69</v>
      </c>
      <c r="R1049">
        <f t="shared" si="32"/>
        <v>0</v>
      </c>
      <c r="S1049" s="3">
        <f t="shared" si="33"/>
        <v>0</v>
      </c>
    </row>
    <row r="1050" spans="1:19" x14ac:dyDescent="0.3">
      <c r="A1050" s="5">
        <v>44880</v>
      </c>
      <c r="B1050" t="s">
        <v>61</v>
      </c>
      <c r="C1050">
        <v>59672708</v>
      </c>
      <c r="D1050">
        <v>27356497</v>
      </c>
      <c r="E1050">
        <v>23737019</v>
      </c>
      <c r="F1050">
        <v>8579192</v>
      </c>
      <c r="H1050">
        <v>34481</v>
      </c>
      <c r="I1050">
        <v>195.34</v>
      </c>
      <c r="J1050">
        <v>89.55</v>
      </c>
      <c r="K1050">
        <v>77.709999999999994</v>
      </c>
      <c r="L1050">
        <v>28.08</v>
      </c>
      <c r="M1050">
        <v>1129</v>
      </c>
      <c r="N1050">
        <v>5746</v>
      </c>
      <c r="O1050">
        <v>1.9E-2</v>
      </c>
      <c r="P1050">
        <v>32.619999999999997</v>
      </c>
      <c r="R1050">
        <f t="shared" si="32"/>
        <v>11.840000000000003</v>
      </c>
      <c r="S1050" s="3">
        <f t="shared" si="33"/>
        <v>0.83629999999999993</v>
      </c>
    </row>
    <row r="1051" spans="1:19" x14ac:dyDescent="0.3">
      <c r="A1051" s="5">
        <v>44881</v>
      </c>
      <c r="B1051" t="s">
        <v>61</v>
      </c>
      <c r="C1051">
        <v>59705970</v>
      </c>
      <c r="D1051">
        <v>27357469</v>
      </c>
      <c r="E1051">
        <v>23749154</v>
      </c>
      <c r="F1051">
        <v>8599347</v>
      </c>
      <c r="G1051">
        <v>33262</v>
      </c>
      <c r="H1051">
        <v>34307</v>
      </c>
      <c r="I1051">
        <v>195.45</v>
      </c>
      <c r="J1051">
        <v>89.56</v>
      </c>
      <c r="K1051">
        <v>77.739999999999995</v>
      </c>
      <c r="L1051">
        <v>28.15</v>
      </c>
      <c r="M1051">
        <v>1123</v>
      </c>
      <c r="N1051">
        <v>5064</v>
      </c>
      <c r="O1051">
        <v>1.7000000000000001E-2</v>
      </c>
      <c r="P1051">
        <v>32.619999999999997</v>
      </c>
      <c r="R1051">
        <f t="shared" si="32"/>
        <v>11.820000000000007</v>
      </c>
      <c r="S1051" s="3">
        <f t="shared" si="33"/>
        <v>0.83650000000000002</v>
      </c>
    </row>
    <row r="1052" spans="1:19" x14ac:dyDescent="0.3">
      <c r="A1052" s="5">
        <v>44882</v>
      </c>
      <c r="B1052" t="s">
        <v>61</v>
      </c>
      <c r="H1052">
        <v>31852</v>
      </c>
      <c r="M1052">
        <v>1043</v>
      </c>
      <c r="N1052">
        <v>4694</v>
      </c>
      <c r="O1052">
        <v>1.4999999999999999E-2</v>
      </c>
      <c r="P1052">
        <v>32.619999999999997</v>
      </c>
      <c r="R1052">
        <f t="shared" si="32"/>
        <v>0</v>
      </c>
      <c r="S1052" s="3">
        <f t="shared" si="33"/>
        <v>0</v>
      </c>
    </row>
    <row r="1053" spans="1:19" x14ac:dyDescent="0.3">
      <c r="A1053" s="5">
        <v>44883</v>
      </c>
      <c r="B1053" t="s">
        <v>61</v>
      </c>
      <c r="H1053">
        <v>29396</v>
      </c>
      <c r="M1053">
        <v>962</v>
      </c>
      <c r="N1053">
        <v>4324</v>
      </c>
      <c r="O1053">
        <v>1.4E-2</v>
      </c>
      <c r="P1053">
        <v>32.619999999999997</v>
      </c>
      <c r="R1053">
        <f t="shared" si="32"/>
        <v>0</v>
      </c>
      <c r="S1053" s="3">
        <f t="shared" si="33"/>
        <v>0</v>
      </c>
    </row>
    <row r="1054" spans="1:19" x14ac:dyDescent="0.3">
      <c r="A1054" s="5">
        <v>44884</v>
      </c>
      <c r="B1054" t="s">
        <v>61</v>
      </c>
      <c r="H1054">
        <v>26940</v>
      </c>
      <c r="M1054">
        <v>882</v>
      </c>
      <c r="N1054">
        <v>3955</v>
      </c>
      <c r="O1054">
        <v>1.2999999999999999E-2</v>
      </c>
      <c r="P1054">
        <v>32.619999999999997</v>
      </c>
      <c r="R1054">
        <f t="shared" si="32"/>
        <v>0</v>
      </c>
      <c r="S1054" s="3">
        <f t="shared" si="33"/>
        <v>0</v>
      </c>
    </row>
    <row r="1055" spans="1:19" x14ac:dyDescent="0.3">
      <c r="A1055" s="5">
        <v>44885</v>
      </c>
      <c r="B1055" t="s">
        <v>61</v>
      </c>
      <c r="H1055">
        <v>24485</v>
      </c>
      <c r="M1055">
        <v>802</v>
      </c>
      <c r="N1055">
        <v>3585</v>
      </c>
      <c r="O1055">
        <v>1.2E-2</v>
      </c>
      <c r="P1055">
        <v>32.619999999999997</v>
      </c>
      <c r="R1055">
        <f t="shared" si="32"/>
        <v>0</v>
      </c>
      <c r="S1055" s="3">
        <f t="shared" si="33"/>
        <v>0</v>
      </c>
    </row>
    <row r="1056" spans="1:19" x14ac:dyDescent="0.3">
      <c r="A1056" s="5">
        <v>44886</v>
      </c>
      <c r="B1056" t="s">
        <v>61</v>
      </c>
      <c r="H1056">
        <v>22029</v>
      </c>
      <c r="M1056">
        <v>721</v>
      </c>
      <c r="N1056">
        <v>3216</v>
      </c>
      <c r="O1056">
        <v>1.0999999999999999E-2</v>
      </c>
      <c r="P1056">
        <v>32.619999999999997</v>
      </c>
      <c r="R1056">
        <f t="shared" si="32"/>
        <v>0</v>
      </c>
      <c r="S1056" s="3">
        <f t="shared" si="33"/>
        <v>0</v>
      </c>
    </row>
    <row r="1057" spans="1:19" x14ac:dyDescent="0.3">
      <c r="A1057" s="5">
        <v>44887</v>
      </c>
      <c r="B1057" t="s">
        <v>61</v>
      </c>
      <c r="H1057">
        <v>19573</v>
      </c>
      <c r="M1057">
        <v>641</v>
      </c>
      <c r="N1057">
        <v>2846</v>
      </c>
      <c r="O1057">
        <v>8.9999999999999993E-3</v>
      </c>
      <c r="P1057">
        <v>32.619999999999997</v>
      </c>
      <c r="R1057">
        <f t="shared" si="32"/>
        <v>0</v>
      </c>
      <c r="S1057" s="3">
        <f t="shared" si="33"/>
        <v>0</v>
      </c>
    </row>
    <row r="1058" spans="1:19" x14ac:dyDescent="0.3">
      <c r="A1058" s="5">
        <v>44888</v>
      </c>
      <c r="B1058" t="s">
        <v>61</v>
      </c>
      <c r="H1058">
        <v>17292</v>
      </c>
      <c r="M1058">
        <v>566</v>
      </c>
      <c r="N1058">
        <v>3158</v>
      </c>
      <c r="O1058">
        <v>0.01</v>
      </c>
      <c r="P1058">
        <v>32.619999999999997</v>
      </c>
      <c r="R1058">
        <f t="shared" si="32"/>
        <v>0</v>
      </c>
      <c r="S1058" s="3">
        <f t="shared" si="33"/>
        <v>0</v>
      </c>
    </row>
    <row r="1059" spans="1:19" x14ac:dyDescent="0.3">
      <c r="A1059" s="5">
        <v>44889</v>
      </c>
      <c r="B1059" t="s">
        <v>61</v>
      </c>
      <c r="H1059">
        <v>17292</v>
      </c>
      <c r="M1059">
        <v>566</v>
      </c>
      <c r="N1059">
        <v>3158</v>
      </c>
      <c r="O1059">
        <v>0.01</v>
      </c>
      <c r="P1059">
        <v>32.619999999999997</v>
      </c>
      <c r="R1059">
        <f t="shared" si="32"/>
        <v>0</v>
      </c>
      <c r="S1059" s="3">
        <f t="shared" si="33"/>
        <v>0</v>
      </c>
    </row>
    <row r="1060" spans="1:19" x14ac:dyDescent="0.3">
      <c r="A1060" s="5">
        <v>44890</v>
      </c>
      <c r="B1060" t="s">
        <v>61</v>
      </c>
      <c r="H1060">
        <v>17292</v>
      </c>
      <c r="M1060">
        <v>566</v>
      </c>
      <c r="N1060">
        <v>3158</v>
      </c>
      <c r="O1060">
        <v>0.01</v>
      </c>
      <c r="P1060">
        <v>32.619999999999997</v>
      </c>
      <c r="R1060">
        <f t="shared" si="32"/>
        <v>0</v>
      </c>
      <c r="S1060" s="3">
        <f t="shared" si="33"/>
        <v>0</v>
      </c>
    </row>
    <row r="1061" spans="1:19" x14ac:dyDescent="0.3">
      <c r="A1061" s="5">
        <v>44891</v>
      </c>
      <c r="B1061" t="s">
        <v>61</v>
      </c>
      <c r="H1061">
        <v>17292</v>
      </c>
      <c r="M1061">
        <v>566</v>
      </c>
      <c r="N1061">
        <v>3158</v>
      </c>
      <c r="O1061">
        <v>0.01</v>
      </c>
      <c r="P1061">
        <v>32.619999999999997</v>
      </c>
      <c r="R1061">
        <f t="shared" si="32"/>
        <v>0</v>
      </c>
      <c r="S1061" s="3">
        <f t="shared" si="33"/>
        <v>0</v>
      </c>
    </row>
    <row r="1062" spans="1:19" x14ac:dyDescent="0.3">
      <c r="A1062" s="5">
        <v>44892</v>
      </c>
      <c r="B1062" t="s">
        <v>61</v>
      </c>
      <c r="H1062">
        <v>17292</v>
      </c>
      <c r="M1062">
        <v>566</v>
      </c>
      <c r="N1062">
        <v>3158</v>
      </c>
      <c r="O1062">
        <v>0.01</v>
      </c>
      <c r="P1062">
        <v>32.619999999999997</v>
      </c>
      <c r="R1062">
        <f t="shared" si="32"/>
        <v>0</v>
      </c>
      <c r="S1062" s="3">
        <f t="shared" si="33"/>
        <v>0</v>
      </c>
    </row>
    <row r="1063" spans="1:19" x14ac:dyDescent="0.3">
      <c r="A1063" s="5">
        <v>44893</v>
      </c>
      <c r="B1063" t="s">
        <v>61</v>
      </c>
      <c r="H1063">
        <v>17292</v>
      </c>
      <c r="M1063">
        <v>566</v>
      </c>
      <c r="N1063">
        <v>3158</v>
      </c>
      <c r="O1063">
        <v>0.01</v>
      </c>
      <c r="P1063">
        <v>32.619999999999997</v>
      </c>
      <c r="R1063">
        <f t="shared" si="32"/>
        <v>0</v>
      </c>
      <c r="S1063" s="3">
        <f t="shared" si="33"/>
        <v>0</v>
      </c>
    </row>
    <row r="1064" spans="1:19" x14ac:dyDescent="0.3">
      <c r="A1064" s="5">
        <v>44894</v>
      </c>
      <c r="B1064" t="s">
        <v>61</v>
      </c>
      <c r="C1064">
        <v>59930762</v>
      </c>
      <c r="D1064">
        <v>27398529</v>
      </c>
      <c r="E1064">
        <v>23857858</v>
      </c>
      <c r="F1064">
        <v>8674375</v>
      </c>
      <c r="H1064">
        <v>17292</v>
      </c>
      <c r="I1064">
        <v>196.19</v>
      </c>
      <c r="J1064">
        <v>89.69</v>
      </c>
      <c r="K1064">
        <v>78.099999999999994</v>
      </c>
      <c r="L1064">
        <v>28.4</v>
      </c>
      <c r="M1064">
        <v>566</v>
      </c>
      <c r="N1064">
        <v>3158</v>
      </c>
      <c r="O1064">
        <v>0.01</v>
      </c>
      <c r="P1064">
        <v>32.549999999999997</v>
      </c>
      <c r="R1064">
        <f t="shared" si="32"/>
        <v>11.590000000000003</v>
      </c>
      <c r="S1064" s="3">
        <f t="shared" si="33"/>
        <v>0.83894999999999997</v>
      </c>
    </row>
    <row r="1065" spans="1:19" x14ac:dyDescent="0.3">
      <c r="A1065" s="5">
        <v>44895</v>
      </c>
      <c r="B1065" t="s">
        <v>61</v>
      </c>
      <c r="H1065">
        <v>19990</v>
      </c>
      <c r="M1065">
        <v>654</v>
      </c>
      <c r="N1065">
        <v>4470</v>
      </c>
      <c r="O1065">
        <v>1.4999999999999999E-2</v>
      </c>
      <c r="P1065">
        <v>32.549999999999997</v>
      </c>
      <c r="R1065">
        <f t="shared" si="32"/>
        <v>0</v>
      </c>
      <c r="S1065" s="3">
        <f t="shared" si="33"/>
        <v>0</v>
      </c>
    </row>
    <row r="1066" spans="1:19" x14ac:dyDescent="0.3">
      <c r="A1066" s="5">
        <v>44896</v>
      </c>
      <c r="B1066" t="s">
        <v>61</v>
      </c>
      <c r="H1066">
        <v>22688</v>
      </c>
      <c r="M1066">
        <v>743</v>
      </c>
      <c r="N1066">
        <v>5782</v>
      </c>
      <c r="O1066">
        <v>1.9E-2</v>
      </c>
      <c r="P1066">
        <v>32.549999999999997</v>
      </c>
      <c r="R1066">
        <f t="shared" si="32"/>
        <v>0</v>
      </c>
      <c r="S1066" s="3">
        <f t="shared" si="33"/>
        <v>0</v>
      </c>
    </row>
    <row r="1067" spans="1:19" x14ac:dyDescent="0.3">
      <c r="A1067" s="5">
        <v>44897</v>
      </c>
      <c r="B1067" t="s">
        <v>61</v>
      </c>
      <c r="H1067">
        <v>25386</v>
      </c>
      <c r="M1067">
        <v>831</v>
      </c>
      <c r="N1067">
        <v>7094</v>
      </c>
      <c r="O1067">
        <v>2.3E-2</v>
      </c>
      <c r="P1067">
        <v>32.549999999999997</v>
      </c>
      <c r="R1067">
        <f t="shared" si="32"/>
        <v>0</v>
      </c>
      <c r="S1067" s="3">
        <f t="shared" si="33"/>
        <v>0</v>
      </c>
    </row>
    <row r="1068" spans="1:19" x14ac:dyDescent="0.3">
      <c r="A1068" s="5">
        <v>44898</v>
      </c>
      <c r="B1068" t="s">
        <v>61</v>
      </c>
      <c r="H1068">
        <v>28083</v>
      </c>
      <c r="M1068">
        <v>919</v>
      </c>
      <c r="N1068">
        <v>8406</v>
      </c>
      <c r="O1068">
        <v>2.8000000000000001E-2</v>
      </c>
      <c r="P1068">
        <v>32.549999999999997</v>
      </c>
      <c r="R1068">
        <f t="shared" si="32"/>
        <v>0</v>
      </c>
      <c r="S1068" s="3">
        <f t="shared" si="33"/>
        <v>0</v>
      </c>
    </row>
    <row r="1069" spans="1:19" x14ac:dyDescent="0.3">
      <c r="A1069" s="5">
        <v>44899</v>
      </c>
      <c r="B1069" t="s">
        <v>61</v>
      </c>
      <c r="H1069">
        <v>30781</v>
      </c>
      <c r="M1069">
        <v>1008</v>
      </c>
      <c r="N1069">
        <v>9717</v>
      </c>
      <c r="O1069">
        <v>3.2000000000000001E-2</v>
      </c>
      <c r="P1069">
        <v>32.549999999999997</v>
      </c>
      <c r="R1069">
        <f t="shared" si="32"/>
        <v>0</v>
      </c>
      <c r="S1069" s="3">
        <f t="shared" si="33"/>
        <v>0</v>
      </c>
    </row>
    <row r="1070" spans="1:19" x14ac:dyDescent="0.3">
      <c r="A1070" s="5">
        <v>44900</v>
      </c>
      <c r="B1070" t="s">
        <v>61</v>
      </c>
      <c r="H1070">
        <v>33479</v>
      </c>
      <c r="M1070">
        <v>1096</v>
      </c>
      <c r="N1070">
        <v>11029</v>
      </c>
      <c r="O1070">
        <v>3.5999999999999997E-2</v>
      </c>
      <c r="P1070">
        <v>32.549999999999997</v>
      </c>
      <c r="R1070">
        <f t="shared" si="32"/>
        <v>0</v>
      </c>
      <c r="S1070" s="3">
        <f t="shared" si="33"/>
        <v>0</v>
      </c>
    </row>
    <row r="1071" spans="1:19" x14ac:dyDescent="0.3">
      <c r="A1071" s="5">
        <v>44901</v>
      </c>
      <c r="B1071" t="s">
        <v>61</v>
      </c>
      <c r="C1071">
        <v>60184003</v>
      </c>
      <c r="D1071">
        <v>27484915</v>
      </c>
      <c r="E1071">
        <v>23949225</v>
      </c>
      <c r="H1071">
        <v>36177</v>
      </c>
      <c r="I1071">
        <v>197.02</v>
      </c>
      <c r="J1071">
        <v>89.97</v>
      </c>
      <c r="K1071">
        <v>78.400000000000006</v>
      </c>
      <c r="M1071">
        <v>1184</v>
      </c>
      <c r="N1071">
        <v>12341</v>
      </c>
      <c r="O1071">
        <v>0.04</v>
      </c>
      <c r="P1071">
        <v>32.5</v>
      </c>
      <c r="R1071">
        <f t="shared" si="32"/>
        <v>11.569999999999993</v>
      </c>
      <c r="S1071" s="3">
        <f t="shared" si="33"/>
        <v>0.84184999999999999</v>
      </c>
    </row>
    <row r="1072" spans="1:19" x14ac:dyDescent="0.3">
      <c r="A1072" s="5">
        <v>44902</v>
      </c>
      <c r="B1072" t="s">
        <v>61</v>
      </c>
      <c r="H1072">
        <v>32128</v>
      </c>
      <c r="M1072">
        <v>1052</v>
      </c>
      <c r="N1072">
        <v>11413</v>
      </c>
      <c r="O1072">
        <v>3.6999999999999998E-2</v>
      </c>
      <c r="P1072">
        <v>32.5</v>
      </c>
      <c r="R1072">
        <f t="shared" si="32"/>
        <v>0</v>
      </c>
      <c r="S1072" s="3">
        <f t="shared" si="33"/>
        <v>0</v>
      </c>
    </row>
    <row r="1073" spans="1:19" x14ac:dyDescent="0.3">
      <c r="A1073" s="5">
        <v>44903</v>
      </c>
      <c r="B1073" t="s">
        <v>61</v>
      </c>
      <c r="H1073">
        <v>28078</v>
      </c>
      <c r="M1073">
        <v>919</v>
      </c>
      <c r="N1073">
        <v>10484</v>
      </c>
      <c r="O1073">
        <v>3.4000000000000002E-2</v>
      </c>
      <c r="P1073">
        <v>32.5</v>
      </c>
      <c r="R1073">
        <f t="shared" si="32"/>
        <v>0</v>
      </c>
      <c r="S1073" s="3">
        <f t="shared" si="33"/>
        <v>0</v>
      </c>
    </row>
    <row r="1074" spans="1:19" x14ac:dyDescent="0.3">
      <c r="A1074" s="5">
        <v>44904</v>
      </c>
      <c r="B1074" t="s">
        <v>61</v>
      </c>
      <c r="H1074">
        <v>24028</v>
      </c>
      <c r="M1074">
        <v>787</v>
      </c>
      <c r="N1074">
        <v>9556</v>
      </c>
      <c r="O1074">
        <v>3.1E-2</v>
      </c>
      <c r="P1074">
        <v>32.5</v>
      </c>
      <c r="R1074">
        <f t="shared" si="32"/>
        <v>0</v>
      </c>
      <c r="S1074" s="3">
        <f t="shared" si="33"/>
        <v>0</v>
      </c>
    </row>
    <row r="1075" spans="1:19" x14ac:dyDescent="0.3">
      <c r="A1075" s="5">
        <v>44905</v>
      </c>
      <c r="B1075" t="s">
        <v>61</v>
      </c>
      <c r="H1075">
        <v>19978</v>
      </c>
      <c r="M1075">
        <v>654</v>
      </c>
      <c r="N1075">
        <v>8628</v>
      </c>
      <c r="O1075">
        <v>2.8000000000000001E-2</v>
      </c>
      <c r="P1075">
        <v>32.5</v>
      </c>
      <c r="R1075">
        <f t="shared" si="32"/>
        <v>0</v>
      </c>
      <c r="S1075" s="3">
        <f t="shared" si="33"/>
        <v>0</v>
      </c>
    </row>
    <row r="1076" spans="1:19" x14ac:dyDescent="0.3">
      <c r="A1076" s="5">
        <v>44906</v>
      </c>
      <c r="B1076" t="s">
        <v>61</v>
      </c>
      <c r="H1076">
        <v>15929</v>
      </c>
      <c r="M1076">
        <v>521</v>
      </c>
      <c r="N1076">
        <v>7700</v>
      </c>
      <c r="O1076">
        <v>2.5000000000000001E-2</v>
      </c>
      <c r="P1076">
        <v>32.5</v>
      </c>
      <c r="R1076">
        <f t="shared" si="32"/>
        <v>0</v>
      </c>
      <c r="S1076" s="3">
        <f t="shared" si="33"/>
        <v>0</v>
      </c>
    </row>
    <row r="1077" spans="1:19" x14ac:dyDescent="0.3">
      <c r="A1077" s="5">
        <v>44907</v>
      </c>
      <c r="B1077" t="s">
        <v>61</v>
      </c>
      <c r="H1077">
        <v>11879</v>
      </c>
      <c r="M1077">
        <v>389</v>
      </c>
      <c r="N1077">
        <v>6772</v>
      </c>
      <c r="O1077">
        <v>2.1999999999999999E-2</v>
      </c>
      <c r="P1077">
        <v>32.5</v>
      </c>
      <c r="R1077">
        <f t="shared" si="32"/>
        <v>0</v>
      </c>
      <c r="S1077" s="3">
        <f t="shared" si="33"/>
        <v>0</v>
      </c>
    </row>
    <row r="1078" spans="1:19" x14ac:dyDescent="0.3">
      <c r="A1078" s="5">
        <v>44908</v>
      </c>
      <c r="B1078" t="s">
        <v>61</v>
      </c>
      <c r="H1078">
        <v>7829</v>
      </c>
      <c r="M1078">
        <v>256</v>
      </c>
      <c r="N1078">
        <v>5843</v>
      </c>
      <c r="O1078">
        <v>1.9E-2</v>
      </c>
      <c r="P1078">
        <v>32.5</v>
      </c>
      <c r="R1078">
        <f t="shared" si="32"/>
        <v>0</v>
      </c>
      <c r="S1078" s="3">
        <f t="shared" si="33"/>
        <v>0</v>
      </c>
    </row>
    <row r="1079" spans="1:19" x14ac:dyDescent="0.3">
      <c r="A1079" s="5">
        <v>44909</v>
      </c>
      <c r="B1079" t="s">
        <v>61</v>
      </c>
      <c r="H1079">
        <v>7829</v>
      </c>
      <c r="M1079">
        <v>256</v>
      </c>
      <c r="N1079">
        <v>5843</v>
      </c>
      <c r="O1079">
        <v>1.9E-2</v>
      </c>
      <c r="P1079">
        <v>32.5</v>
      </c>
      <c r="R1079">
        <f t="shared" si="32"/>
        <v>0</v>
      </c>
      <c r="S1079" s="3">
        <f t="shared" si="33"/>
        <v>0</v>
      </c>
    </row>
    <row r="1080" spans="1:19" x14ac:dyDescent="0.3">
      <c r="A1080" s="5">
        <v>44910</v>
      </c>
      <c r="B1080" t="s">
        <v>61</v>
      </c>
      <c r="H1080">
        <v>7829</v>
      </c>
      <c r="M1080">
        <v>256</v>
      </c>
      <c r="N1080">
        <v>5843</v>
      </c>
      <c r="O1080">
        <v>1.9E-2</v>
      </c>
      <c r="P1080">
        <v>32.5</v>
      </c>
      <c r="R1080">
        <f t="shared" si="32"/>
        <v>0</v>
      </c>
      <c r="S1080" s="3">
        <f t="shared" si="33"/>
        <v>0</v>
      </c>
    </row>
    <row r="1081" spans="1:19" x14ac:dyDescent="0.3">
      <c r="A1081" s="5">
        <v>44911</v>
      </c>
      <c r="B1081" t="s">
        <v>61</v>
      </c>
      <c r="H1081">
        <v>7829</v>
      </c>
      <c r="M1081">
        <v>256</v>
      </c>
      <c r="N1081">
        <v>5843</v>
      </c>
      <c r="O1081">
        <v>1.9E-2</v>
      </c>
      <c r="P1081">
        <v>32.5</v>
      </c>
      <c r="R1081">
        <f t="shared" si="32"/>
        <v>0</v>
      </c>
      <c r="S1081" s="3">
        <f t="shared" si="33"/>
        <v>0</v>
      </c>
    </row>
    <row r="1082" spans="1:19" x14ac:dyDescent="0.3">
      <c r="A1082" s="5">
        <v>44912</v>
      </c>
      <c r="B1082" t="s">
        <v>61</v>
      </c>
      <c r="H1082">
        <v>7829</v>
      </c>
      <c r="M1082">
        <v>256</v>
      </c>
      <c r="N1082">
        <v>5843</v>
      </c>
      <c r="O1082">
        <v>1.9E-2</v>
      </c>
      <c r="P1082">
        <v>32.5</v>
      </c>
      <c r="R1082">
        <f t="shared" si="32"/>
        <v>0</v>
      </c>
      <c r="S1082" s="3">
        <f t="shared" si="33"/>
        <v>0</v>
      </c>
    </row>
    <row r="1083" spans="1:19" x14ac:dyDescent="0.3">
      <c r="A1083" s="5">
        <v>44913</v>
      </c>
      <c r="B1083" t="s">
        <v>61</v>
      </c>
      <c r="H1083">
        <v>7829</v>
      </c>
      <c r="M1083">
        <v>256</v>
      </c>
      <c r="N1083">
        <v>5843</v>
      </c>
      <c r="O1083">
        <v>1.9E-2</v>
      </c>
      <c r="P1083">
        <v>32.5</v>
      </c>
      <c r="R1083">
        <f t="shared" si="32"/>
        <v>0</v>
      </c>
      <c r="S1083" s="3">
        <f t="shared" si="33"/>
        <v>0</v>
      </c>
    </row>
    <row r="1084" spans="1:19" x14ac:dyDescent="0.3">
      <c r="A1084" s="5">
        <v>44914</v>
      </c>
      <c r="B1084" t="s">
        <v>61</v>
      </c>
      <c r="H1084">
        <v>7829</v>
      </c>
      <c r="M1084">
        <v>256</v>
      </c>
      <c r="N1084">
        <v>5843</v>
      </c>
      <c r="O1084">
        <v>1.9E-2</v>
      </c>
      <c r="P1084">
        <v>32.5</v>
      </c>
      <c r="R1084">
        <f t="shared" si="32"/>
        <v>0</v>
      </c>
      <c r="S1084" s="3">
        <f t="shared" si="33"/>
        <v>0</v>
      </c>
    </row>
    <row r="1085" spans="1:19" x14ac:dyDescent="0.3">
      <c r="A1085" s="5">
        <v>44915</v>
      </c>
      <c r="B1085" t="s">
        <v>61</v>
      </c>
      <c r="D1085">
        <v>27566723</v>
      </c>
      <c r="E1085">
        <v>24057021</v>
      </c>
      <c r="H1085">
        <v>7829</v>
      </c>
      <c r="J1085">
        <v>90.24</v>
      </c>
      <c r="K1085">
        <v>78.75</v>
      </c>
      <c r="M1085">
        <v>256</v>
      </c>
      <c r="N1085">
        <v>5843</v>
      </c>
      <c r="O1085">
        <v>1.9E-2</v>
      </c>
      <c r="P1085">
        <v>32.44</v>
      </c>
      <c r="R1085">
        <f t="shared" si="32"/>
        <v>11.489999999999995</v>
      </c>
      <c r="S1085" s="3">
        <f t="shared" si="33"/>
        <v>0.84495000000000009</v>
      </c>
    </row>
    <row r="1086" spans="1:19" x14ac:dyDescent="0.3">
      <c r="A1086" s="5">
        <v>44916</v>
      </c>
      <c r="B1086" t="s">
        <v>61</v>
      </c>
      <c r="H1086">
        <v>7829</v>
      </c>
      <c r="M1086">
        <v>256</v>
      </c>
      <c r="N1086">
        <v>5227</v>
      </c>
      <c r="O1086">
        <v>1.7000000000000001E-2</v>
      </c>
      <c r="P1086">
        <v>32.44</v>
      </c>
      <c r="R1086">
        <f t="shared" si="32"/>
        <v>0</v>
      </c>
      <c r="S1086" s="3">
        <f t="shared" si="33"/>
        <v>0</v>
      </c>
    </row>
    <row r="1087" spans="1:19" x14ac:dyDescent="0.3">
      <c r="A1087" s="5">
        <v>44917</v>
      </c>
      <c r="B1087" t="s">
        <v>61</v>
      </c>
      <c r="H1087">
        <v>7829</v>
      </c>
      <c r="M1087">
        <v>256</v>
      </c>
      <c r="N1087">
        <v>4611</v>
      </c>
      <c r="O1087">
        <v>1.4999999999999999E-2</v>
      </c>
      <c r="P1087">
        <v>32.44</v>
      </c>
      <c r="R1087">
        <f t="shared" si="32"/>
        <v>0</v>
      </c>
      <c r="S1087" s="3">
        <f t="shared" si="33"/>
        <v>0</v>
      </c>
    </row>
    <row r="1088" spans="1:19" x14ac:dyDescent="0.3">
      <c r="A1088" s="5">
        <v>44918</v>
      </c>
      <c r="B1088" t="s">
        <v>61</v>
      </c>
      <c r="H1088">
        <v>7829</v>
      </c>
      <c r="M1088">
        <v>256</v>
      </c>
      <c r="N1088">
        <v>3994</v>
      </c>
      <c r="O1088">
        <v>1.2999999999999999E-2</v>
      </c>
      <c r="P1088">
        <v>32.44</v>
      </c>
      <c r="R1088">
        <f t="shared" si="32"/>
        <v>0</v>
      </c>
      <c r="S1088" s="3">
        <f t="shared" si="33"/>
        <v>0</v>
      </c>
    </row>
    <row r="1089" spans="1:19" x14ac:dyDescent="0.3">
      <c r="A1089" s="5">
        <v>44919</v>
      </c>
      <c r="B1089" t="s">
        <v>61</v>
      </c>
      <c r="H1089">
        <v>7829</v>
      </c>
      <c r="M1089">
        <v>256</v>
      </c>
      <c r="N1089">
        <v>3378</v>
      </c>
      <c r="O1089">
        <v>1.0999999999999999E-2</v>
      </c>
      <c r="P1089">
        <v>32.44</v>
      </c>
      <c r="R1089">
        <f t="shared" si="32"/>
        <v>0</v>
      </c>
      <c r="S1089" s="3">
        <f t="shared" si="33"/>
        <v>0</v>
      </c>
    </row>
    <row r="1090" spans="1:19" x14ac:dyDescent="0.3">
      <c r="A1090" s="5">
        <v>44920</v>
      </c>
      <c r="B1090" t="s">
        <v>61</v>
      </c>
      <c r="H1090">
        <v>7829</v>
      </c>
      <c r="M1090">
        <v>256</v>
      </c>
      <c r="N1090">
        <v>2761</v>
      </c>
      <c r="O1090">
        <v>8.9999999999999993E-3</v>
      </c>
      <c r="P1090">
        <v>32.44</v>
      </c>
      <c r="R1090">
        <f t="shared" si="32"/>
        <v>0</v>
      </c>
      <c r="S1090" s="3">
        <f t="shared" si="33"/>
        <v>0</v>
      </c>
    </row>
    <row r="1091" spans="1:19" x14ac:dyDescent="0.3">
      <c r="A1091" s="5">
        <v>44921</v>
      </c>
      <c r="B1091" t="s">
        <v>61</v>
      </c>
      <c r="H1091">
        <v>7829</v>
      </c>
      <c r="M1091">
        <v>256</v>
      </c>
      <c r="N1091">
        <v>2145</v>
      </c>
      <c r="O1091">
        <v>7.0000000000000001E-3</v>
      </c>
      <c r="P1091">
        <v>32.44</v>
      </c>
      <c r="R1091">
        <f t="shared" si="32"/>
        <v>0</v>
      </c>
      <c r="S1091" s="3">
        <f t="shared" si="33"/>
        <v>0</v>
      </c>
    </row>
    <row r="1092" spans="1:19" x14ac:dyDescent="0.3">
      <c r="A1092" s="5">
        <v>44922</v>
      </c>
      <c r="B1092" t="s">
        <v>61</v>
      </c>
      <c r="H1092">
        <v>7829</v>
      </c>
      <c r="M1092">
        <v>256</v>
      </c>
      <c r="N1092">
        <v>1528</v>
      </c>
      <c r="O1092">
        <v>5.0000000000000001E-3</v>
      </c>
      <c r="P1092">
        <v>32.44</v>
      </c>
      <c r="R1092">
        <f t="shared" si="32"/>
        <v>0</v>
      </c>
      <c r="S1092" s="3">
        <f t="shared" si="33"/>
        <v>0</v>
      </c>
    </row>
    <row r="1093" spans="1:19" x14ac:dyDescent="0.3">
      <c r="A1093" s="5">
        <v>44923</v>
      </c>
      <c r="B1093" t="s">
        <v>61</v>
      </c>
      <c r="H1093">
        <v>7829</v>
      </c>
      <c r="M1093">
        <v>256</v>
      </c>
      <c r="N1093">
        <v>1528</v>
      </c>
      <c r="O1093">
        <v>5.0000000000000001E-3</v>
      </c>
      <c r="P1093">
        <v>32.44</v>
      </c>
      <c r="R1093">
        <f t="shared" si="32"/>
        <v>0</v>
      </c>
      <c r="S1093" s="3">
        <f t="shared" si="33"/>
        <v>0</v>
      </c>
    </row>
    <row r="1094" spans="1:19" x14ac:dyDescent="0.3">
      <c r="A1094" s="5">
        <v>44924</v>
      </c>
      <c r="B1094" t="s">
        <v>61</v>
      </c>
      <c r="H1094">
        <v>7829</v>
      </c>
      <c r="M1094">
        <v>256</v>
      </c>
      <c r="N1094">
        <v>1528</v>
      </c>
      <c r="O1094">
        <v>5.0000000000000001E-3</v>
      </c>
      <c r="P1094">
        <v>32.44</v>
      </c>
      <c r="R1094">
        <f t="shared" ref="R1094:R1157" si="34">J1094-K1094</f>
        <v>0</v>
      </c>
      <c r="S1094" s="3">
        <f t="shared" ref="S1094:S1157" si="35">MIN(1, (0.5*MAX(R1094,0) + 1*K1094)/100 )</f>
        <v>0</v>
      </c>
    </row>
    <row r="1095" spans="1:19" x14ac:dyDescent="0.3">
      <c r="A1095" s="5">
        <v>44925</v>
      </c>
      <c r="B1095" t="s">
        <v>61</v>
      </c>
      <c r="H1095">
        <v>7829</v>
      </c>
      <c r="M1095">
        <v>256</v>
      </c>
      <c r="N1095">
        <v>1528</v>
      </c>
      <c r="O1095">
        <v>5.0000000000000001E-3</v>
      </c>
      <c r="P1095">
        <v>32.44</v>
      </c>
      <c r="R1095">
        <f t="shared" si="34"/>
        <v>0</v>
      </c>
      <c r="S1095" s="3">
        <f t="shared" si="35"/>
        <v>0</v>
      </c>
    </row>
    <row r="1096" spans="1:19" x14ac:dyDescent="0.3">
      <c r="A1096" s="5">
        <v>44926</v>
      </c>
      <c r="B1096" t="s">
        <v>61</v>
      </c>
      <c r="H1096">
        <v>7829</v>
      </c>
      <c r="M1096">
        <v>256</v>
      </c>
      <c r="N1096">
        <v>1528</v>
      </c>
      <c r="O1096">
        <v>5.0000000000000001E-3</v>
      </c>
      <c r="P1096">
        <v>32.44</v>
      </c>
      <c r="R1096">
        <f t="shared" si="34"/>
        <v>0</v>
      </c>
      <c r="S1096" s="3">
        <f t="shared" si="35"/>
        <v>0</v>
      </c>
    </row>
    <row r="1097" spans="1:19" x14ac:dyDescent="0.3">
      <c r="A1097" s="5">
        <v>44927</v>
      </c>
      <c r="B1097" t="s">
        <v>61</v>
      </c>
      <c r="H1097">
        <v>7829</v>
      </c>
      <c r="M1097">
        <v>256</v>
      </c>
      <c r="N1097">
        <v>1528</v>
      </c>
      <c r="O1097">
        <v>5.0000000000000001E-3</v>
      </c>
      <c r="R1097">
        <f t="shared" si="34"/>
        <v>0</v>
      </c>
      <c r="S1097" s="3">
        <f t="shared" si="35"/>
        <v>0</v>
      </c>
    </row>
    <row r="1098" spans="1:19" x14ac:dyDescent="0.3">
      <c r="A1098" s="5">
        <v>44928</v>
      </c>
      <c r="B1098" t="s">
        <v>61</v>
      </c>
      <c r="H1098">
        <v>7829</v>
      </c>
      <c r="M1098">
        <v>256</v>
      </c>
      <c r="N1098">
        <v>1528</v>
      </c>
      <c r="O1098">
        <v>5.0000000000000001E-3</v>
      </c>
      <c r="R1098">
        <f t="shared" si="34"/>
        <v>0</v>
      </c>
      <c r="S1098" s="3">
        <f t="shared" si="35"/>
        <v>0</v>
      </c>
    </row>
    <row r="1099" spans="1:19" x14ac:dyDescent="0.3">
      <c r="A1099" s="5">
        <v>44929</v>
      </c>
      <c r="B1099" t="s">
        <v>61</v>
      </c>
      <c r="C1099">
        <v>60403215</v>
      </c>
      <c r="D1099">
        <v>27588121</v>
      </c>
      <c r="E1099">
        <v>24082373</v>
      </c>
      <c r="F1099">
        <v>8732721</v>
      </c>
      <c r="H1099">
        <v>7829</v>
      </c>
      <c r="I1099">
        <v>197.73</v>
      </c>
      <c r="J1099">
        <v>90.31</v>
      </c>
      <c r="K1099">
        <v>78.84</v>
      </c>
      <c r="L1099">
        <v>28.59</v>
      </c>
      <c r="M1099">
        <v>256</v>
      </c>
      <c r="N1099">
        <v>1528</v>
      </c>
      <c r="O1099">
        <v>5.0000000000000001E-3</v>
      </c>
      <c r="R1099">
        <f t="shared" si="34"/>
        <v>11.469999999999999</v>
      </c>
      <c r="S1099" s="3">
        <f t="shared" si="35"/>
        <v>0.84575</v>
      </c>
    </row>
    <row r="1100" spans="1:19" x14ac:dyDescent="0.3">
      <c r="A1100" s="5">
        <v>44930</v>
      </c>
      <c r="B1100" t="s">
        <v>61</v>
      </c>
      <c r="H1100">
        <v>10647</v>
      </c>
      <c r="M1100">
        <v>349</v>
      </c>
      <c r="N1100">
        <v>2232</v>
      </c>
      <c r="O1100">
        <v>7.0000000000000001E-3</v>
      </c>
      <c r="R1100">
        <f t="shared" si="34"/>
        <v>0</v>
      </c>
      <c r="S1100" s="3">
        <f t="shared" si="35"/>
        <v>0</v>
      </c>
    </row>
    <row r="1101" spans="1:19" x14ac:dyDescent="0.3">
      <c r="A1101" s="5">
        <v>44931</v>
      </c>
      <c r="B1101" t="s">
        <v>61</v>
      </c>
      <c r="H1101">
        <v>13465</v>
      </c>
      <c r="M1101">
        <v>441</v>
      </c>
      <c r="N1101">
        <v>2936</v>
      </c>
      <c r="O1101">
        <v>0.01</v>
      </c>
      <c r="R1101">
        <f t="shared" si="34"/>
        <v>0</v>
      </c>
      <c r="S1101" s="3">
        <f t="shared" si="35"/>
        <v>0</v>
      </c>
    </row>
    <row r="1102" spans="1:19" x14ac:dyDescent="0.3">
      <c r="A1102" s="5">
        <v>44932</v>
      </c>
      <c r="B1102" t="s">
        <v>61</v>
      </c>
      <c r="H1102">
        <v>16283</v>
      </c>
      <c r="M1102">
        <v>533</v>
      </c>
      <c r="N1102">
        <v>3639</v>
      </c>
      <c r="O1102">
        <v>1.2E-2</v>
      </c>
      <c r="R1102">
        <f t="shared" si="34"/>
        <v>0</v>
      </c>
      <c r="S1102" s="3">
        <f t="shared" si="35"/>
        <v>0</v>
      </c>
    </row>
    <row r="1103" spans="1:19" x14ac:dyDescent="0.3">
      <c r="A1103" s="5">
        <v>44933</v>
      </c>
      <c r="B1103" t="s">
        <v>61</v>
      </c>
      <c r="H1103">
        <v>19102</v>
      </c>
      <c r="M1103">
        <v>625</v>
      </c>
      <c r="N1103">
        <v>4343</v>
      </c>
      <c r="O1103">
        <v>1.4E-2</v>
      </c>
      <c r="R1103">
        <f t="shared" si="34"/>
        <v>0</v>
      </c>
      <c r="S1103" s="3">
        <f t="shared" si="35"/>
        <v>0</v>
      </c>
    </row>
    <row r="1104" spans="1:19" x14ac:dyDescent="0.3">
      <c r="A1104" s="5">
        <v>44934</v>
      </c>
      <c r="B1104" t="s">
        <v>61</v>
      </c>
      <c r="H1104">
        <v>21920</v>
      </c>
      <c r="M1104">
        <v>718</v>
      </c>
      <c r="N1104">
        <v>5047</v>
      </c>
      <c r="O1104">
        <v>1.7000000000000001E-2</v>
      </c>
      <c r="R1104">
        <f t="shared" si="34"/>
        <v>0</v>
      </c>
      <c r="S1104" s="3">
        <f t="shared" si="35"/>
        <v>0</v>
      </c>
    </row>
    <row r="1105" spans="1:19" x14ac:dyDescent="0.3">
      <c r="A1105" s="5">
        <v>44935</v>
      </c>
      <c r="B1105" t="s">
        <v>61</v>
      </c>
      <c r="H1105">
        <v>24738</v>
      </c>
      <c r="M1105">
        <v>810</v>
      </c>
      <c r="N1105">
        <v>5750</v>
      </c>
      <c r="O1105">
        <v>1.9E-2</v>
      </c>
      <c r="R1105">
        <f t="shared" si="34"/>
        <v>0</v>
      </c>
      <c r="S1105" s="3">
        <f t="shared" si="35"/>
        <v>0</v>
      </c>
    </row>
    <row r="1106" spans="1:19" x14ac:dyDescent="0.3">
      <c r="A1106" s="5">
        <v>44936</v>
      </c>
      <c r="B1106" t="s">
        <v>61</v>
      </c>
      <c r="H1106">
        <v>27556</v>
      </c>
      <c r="M1106">
        <v>902</v>
      </c>
      <c r="N1106">
        <v>6454</v>
      </c>
      <c r="O1106">
        <v>2.1000000000000001E-2</v>
      </c>
      <c r="R1106">
        <f t="shared" si="34"/>
        <v>0</v>
      </c>
      <c r="S1106" s="3">
        <f t="shared" si="35"/>
        <v>0</v>
      </c>
    </row>
    <row r="1107" spans="1:19" x14ac:dyDescent="0.3">
      <c r="A1107" s="5">
        <v>44937</v>
      </c>
      <c r="B1107" t="s">
        <v>61</v>
      </c>
      <c r="H1107">
        <v>27556</v>
      </c>
      <c r="M1107">
        <v>902</v>
      </c>
      <c r="N1107">
        <v>6454</v>
      </c>
      <c r="O1107">
        <v>2.1000000000000001E-2</v>
      </c>
      <c r="R1107">
        <f t="shared" si="34"/>
        <v>0</v>
      </c>
      <c r="S1107" s="3">
        <f t="shared" si="35"/>
        <v>0</v>
      </c>
    </row>
    <row r="1108" spans="1:19" x14ac:dyDescent="0.3">
      <c r="A1108" s="5">
        <v>44938</v>
      </c>
      <c r="B1108" t="s">
        <v>61</v>
      </c>
      <c r="H1108">
        <v>27556</v>
      </c>
      <c r="M1108">
        <v>902</v>
      </c>
      <c r="N1108">
        <v>6454</v>
      </c>
      <c r="O1108">
        <v>2.1000000000000001E-2</v>
      </c>
      <c r="R1108">
        <f t="shared" si="34"/>
        <v>0</v>
      </c>
      <c r="S1108" s="3">
        <f t="shared" si="35"/>
        <v>0</v>
      </c>
    </row>
    <row r="1109" spans="1:19" x14ac:dyDescent="0.3">
      <c r="A1109" s="5">
        <v>44939</v>
      </c>
      <c r="B1109" t="s">
        <v>61</v>
      </c>
      <c r="H1109">
        <v>27556</v>
      </c>
      <c r="M1109">
        <v>902</v>
      </c>
      <c r="N1109">
        <v>6454</v>
      </c>
      <c r="O1109">
        <v>2.1000000000000001E-2</v>
      </c>
      <c r="R1109">
        <f t="shared" si="34"/>
        <v>0</v>
      </c>
      <c r="S1109" s="3">
        <f t="shared" si="35"/>
        <v>0</v>
      </c>
    </row>
    <row r="1110" spans="1:19" x14ac:dyDescent="0.3">
      <c r="A1110" s="5">
        <v>44940</v>
      </c>
      <c r="B1110" t="s">
        <v>61</v>
      </c>
      <c r="H1110">
        <v>27556</v>
      </c>
      <c r="M1110">
        <v>902</v>
      </c>
      <c r="N1110">
        <v>6454</v>
      </c>
      <c r="O1110">
        <v>2.1000000000000001E-2</v>
      </c>
      <c r="R1110">
        <f t="shared" si="34"/>
        <v>0</v>
      </c>
      <c r="S1110" s="3">
        <f t="shared" si="35"/>
        <v>0</v>
      </c>
    </row>
    <row r="1111" spans="1:19" x14ac:dyDescent="0.3">
      <c r="A1111" s="5">
        <v>44941</v>
      </c>
      <c r="B1111" t="s">
        <v>61</v>
      </c>
      <c r="H1111">
        <v>27556</v>
      </c>
      <c r="M1111">
        <v>902</v>
      </c>
      <c r="N1111">
        <v>6454</v>
      </c>
      <c r="O1111">
        <v>2.1000000000000001E-2</v>
      </c>
      <c r="R1111">
        <f t="shared" si="34"/>
        <v>0</v>
      </c>
      <c r="S1111" s="3">
        <f t="shared" si="35"/>
        <v>0</v>
      </c>
    </row>
    <row r="1112" spans="1:19" x14ac:dyDescent="0.3">
      <c r="A1112" s="5">
        <v>44942</v>
      </c>
      <c r="B1112" t="s">
        <v>61</v>
      </c>
      <c r="H1112">
        <v>27556</v>
      </c>
      <c r="M1112">
        <v>902</v>
      </c>
      <c r="N1112">
        <v>6454</v>
      </c>
      <c r="O1112">
        <v>2.1000000000000001E-2</v>
      </c>
      <c r="R1112">
        <f t="shared" si="34"/>
        <v>0</v>
      </c>
      <c r="S1112" s="3">
        <f t="shared" si="35"/>
        <v>0</v>
      </c>
    </row>
    <row r="1113" spans="1:19" x14ac:dyDescent="0.3">
      <c r="A1113" s="5">
        <v>44943</v>
      </c>
      <c r="B1113" t="s">
        <v>61</v>
      </c>
      <c r="C1113">
        <v>60789000</v>
      </c>
      <c r="D1113">
        <v>27678479</v>
      </c>
      <c r="E1113">
        <v>24159118</v>
      </c>
      <c r="F1113">
        <v>8951403</v>
      </c>
      <c r="H1113">
        <v>27556</v>
      </c>
      <c r="I1113">
        <v>199</v>
      </c>
      <c r="J1113">
        <v>90.61</v>
      </c>
      <c r="K1113">
        <v>79.09</v>
      </c>
      <c r="L1113">
        <v>29.3</v>
      </c>
      <c r="M1113">
        <v>902</v>
      </c>
      <c r="N1113">
        <v>6454</v>
      </c>
      <c r="O1113">
        <v>2.1000000000000001E-2</v>
      </c>
      <c r="R1113">
        <f t="shared" si="34"/>
        <v>11.519999999999996</v>
      </c>
      <c r="S1113" s="3">
        <f t="shared" si="35"/>
        <v>0.84849999999999992</v>
      </c>
    </row>
    <row r="1114" spans="1:19" x14ac:dyDescent="0.3">
      <c r="A1114" s="5">
        <v>44944</v>
      </c>
      <c r="B1114" t="s">
        <v>61</v>
      </c>
      <c r="H1114">
        <v>24576</v>
      </c>
      <c r="M1114">
        <v>805</v>
      </c>
      <c r="N1114">
        <v>5735</v>
      </c>
      <c r="O1114">
        <v>1.9E-2</v>
      </c>
      <c r="R1114">
        <f t="shared" si="34"/>
        <v>0</v>
      </c>
      <c r="S1114" s="3">
        <f t="shared" si="35"/>
        <v>0</v>
      </c>
    </row>
    <row r="1115" spans="1:19" x14ac:dyDescent="0.3">
      <c r="A1115" s="5">
        <v>44945</v>
      </c>
      <c r="B1115" t="s">
        <v>61</v>
      </c>
      <c r="H1115">
        <v>21595</v>
      </c>
      <c r="M1115">
        <v>707</v>
      </c>
      <c r="N1115">
        <v>5015</v>
      </c>
      <c r="O1115">
        <v>1.6E-2</v>
      </c>
      <c r="R1115">
        <f t="shared" si="34"/>
        <v>0</v>
      </c>
      <c r="S1115" s="3">
        <f t="shared" si="35"/>
        <v>0</v>
      </c>
    </row>
    <row r="1116" spans="1:19" x14ac:dyDescent="0.3">
      <c r="A1116" s="5">
        <v>44946</v>
      </c>
      <c r="B1116" t="s">
        <v>61</v>
      </c>
      <c r="H1116">
        <v>18615</v>
      </c>
      <c r="M1116">
        <v>609</v>
      </c>
      <c r="N1116">
        <v>4295</v>
      </c>
      <c r="O1116">
        <v>1.4E-2</v>
      </c>
      <c r="R1116">
        <f t="shared" si="34"/>
        <v>0</v>
      </c>
      <c r="S1116" s="3">
        <f t="shared" si="35"/>
        <v>0</v>
      </c>
    </row>
    <row r="1117" spans="1:19" x14ac:dyDescent="0.3">
      <c r="A1117" s="5">
        <v>44947</v>
      </c>
      <c r="B1117" t="s">
        <v>61</v>
      </c>
      <c r="H1117">
        <v>15635</v>
      </c>
      <c r="M1117">
        <v>512</v>
      </c>
      <c r="N1117">
        <v>3576</v>
      </c>
      <c r="O1117">
        <v>1.2E-2</v>
      </c>
      <c r="R1117">
        <f t="shared" si="34"/>
        <v>0</v>
      </c>
      <c r="S1117" s="3">
        <f t="shared" si="35"/>
        <v>0</v>
      </c>
    </row>
    <row r="1118" spans="1:19" x14ac:dyDescent="0.3">
      <c r="A1118" s="5">
        <v>44948</v>
      </c>
      <c r="B1118" t="s">
        <v>61</v>
      </c>
      <c r="H1118">
        <v>12655</v>
      </c>
      <c r="M1118">
        <v>414</v>
      </c>
      <c r="N1118">
        <v>2856</v>
      </c>
      <c r="O1118">
        <v>8.9999999999999993E-3</v>
      </c>
      <c r="R1118">
        <f t="shared" si="34"/>
        <v>0</v>
      </c>
      <c r="S1118" s="3">
        <f t="shared" si="35"/>
        <v>0</v>
      </c>
    </row>
    <row r="1119" spans="1:19" x14ac:dyDescent="0.3">
      <c r="A1119" s="5">
        <v>44949</v>
      </c>
      <c r="B1119" t="s">
        <v>61</v>
      </c>
      <c r="H1119">
        <v>9674</v>
      </c>
      <c r="M1119">
        <v>317</v>
      </c>
      <c r="N1119">
        <v>2137</v>
      </c>
      <c r="O1119">
        <v>7.0000000000000001E-3</v>
      </c>
      <c r="R1119">
        <f t="shared" si="34"/>
        <v>0</v>
      </c>
      <c r="S1119" s="3">
        <f t="shared" si="35"/>
        <v>0</v>
      </c>
    </row>
    <row r="1120" spans="1:19" x14ac:dyDescent="0.3">
      <c r="A1120" s="5">
        <v>44950</v>
      </c>
      <c r="B1120" t="s">
        <v>61</v>
      </c>
      <c r="H1120">
        <v>6694</v>
      </c>
      <c r="M1120">
        <v>219</v>
      </c>
      <c r="N1120">
        <v>1417</v>
      </c>
      <c r="O1120">
        <v>5.0000000000000001E-3</v>
      </c>
      <c r="R1120">
        <f t="shared" si="34"/>
        <v>0</v>
      </c>
      <c r="S1120" s="3">
        <f t="shared" si="35"/>
        <v>0</v>
      </c>
    </row>
    <row r="1121" spans="1:19" x14ac:dyDescent="0.3">
      <c r="A1121" s="5">
        <v>44951</v>
      </c>
      <c r="B1121" t="s">
        <v>61</v>
      </c>
      <c r="H1121">
        <v>6694</v>
      </c>
      <c r="M1121">
        <v>219</v>
      </c>
      <c r="N1121">
        <v>1417</v>
      </c>
      <c r="O1121">
        <v>5.0000000000000001E-3</v>
      </c>
      <c r="R1121">
        <f t="shared" si="34"/>
        <v>0</v>
      </c>
      <c r="S1121" s="3">
        <f t="shared" si="35"/>
        <v>0</v>
      </c>
    </row>
    <row r="1122" spans="1:19" x14ac:dyDescent="0.3">
      <c r="A1122" s="5">
        <v>44952</v>
      </c>
      <c r="B1122" t="s">
        <v>61</v>
      </c>
      <c r="H1122">
        <v>6694</v>
      </c>
      <c r="M1122">
        <v>219</v>
      </c>
      <c r="N1122">
        <v>1417</v>
      </c>
      <c r="O1122">
        <v>5.0000000000000001E-3</v>
      </c>
      <c r="R1122">
        <f t="shared" si="34"/>
        <v>0</v>
      </c>
      <c r="S1122" s="3">
        <f t="shared" si="35"/>
        <v>0</v>
      </c>
    </row>
    <row r="1123" spans="1:19" x14ac:dyDescent="0.3">
      <c r="A1123" s="5">
        <v>44953</v>
      </c>
      <c r="B1123" t="s">
        <v>61</v>
      </c>
      <c r="H1123">
        <v>6694</v>
      </c>
      <c r="M1123">
        <v>219</v>
      </c>
      <c r="N1123">
        <v>1417</v>
      </c>
      <c r="O1123">
        <v>5.0000000000000001E-3</v>
      </c>
      <c r="R1123">
        <f t="shared" si="34"/>
        <v>0</v>
      </c>
      <c r="S1123" s="3">
        <f t="shared" si="35"/>
        <v>0</v>
      </c>
    </row>
    <row r="1124" spans="1:19" x14ac:dyDescent="0.3">
      <c r="A1124" s="5">
        <v>44954</v>
      </c>
      <c r="B1124" t="s">
        <v>61</v>
      </c>
      <c r="H1124">
        <v>6694</v>
      </c>
      <c r="M1124">
        <v>219</v>
      </c>
      <c r="N1124">
        <v>1417</v>
      </c>
      <c r="O1124">
        <v>5.0000000000000001E-3</v>
      </c>
      <c r="R1124">
        <f t="shared" si="34"/>
        <v>0</v>
      </c>
      <c r="S1124" s="3">
        <f t="shared" si="35"/>
        <v>0</v>
      </c>
    </row>
    <row r="1125" spans="1:19" x14ac:dyDescent="0.3">
      <c r="A1125" s="5">
        <v>44955</v>
      </c>
      <c r="B1125" t="s">
        <v>61</v>
      </c>
      <c r="H1125">
        <v>6694</v>
      </c>
      <c r="M1125">
        <v>219</v>
      </c>
      <c r="N1125">
        <v>1417</v>
      </c>
      <c r="O1125">
        <v>5.0000000000000001E-3</v>
      </c>
      <c r="R1125">
        <f t="shared" si="34"/>
        <v>0</v>
      </c>
      <c r="S1125" s="3">
        <f t="shared" si="35"/>
        <v>0</v>
      </c>
    </row>
    <row r="1126" spans="1:19" x14ac:dyDescent="0.3">
      <c r="A1126" s="5">
        <v>44956</v>
      </c>
      <c r="B1126" t="s">
        <v>61</v>
      </c>
      <c r="H1126">
        <v>6694</v>
      </c>
      <c r="M1126">
        <v>219</v>
      </c>
      <c r="N1126">
        <v>1417</v>
      </c>
      <c r="O1126">
        <v>5.0000000000000001E-3</v>
      </c>
      <c r="R1126">
        <f t="shared" si="34"/>
        <v>0</v>
      </c>
      <c r="S1126" s="3">
        <f t="shared" si="35"/>
        <v>0</v>
      </c>
    </row>
    <row r="1127" spans="1:19" x14ac:dyDescent="0.3">
      <c r="A1127" s="5">
        <v>44957</v>
      </c>
      <c r="B1127" t="s">
        <v>61</v>
      </c>
      <c r="H1127">
        <v>6694</v>
      </c>
      <c r="M1127">
        <v>219</v>
      </c>
      <c r="N1127">
        <v>1417</v>
      </c>
      <c r="O1127">
        <v>5.0000000000000001E-3</v>
      </c>
      <c r="R1127">
        <f t="shared" si="34"/>
        <v>0</v>
      </c>
      <c r="S1127" s="3">
        <f t="shared" si="35"/>
        <v>0</v>
      </c>
    </row>
    <row r="1128" spans="1:19" x14ac:dyDescent="0.3">
      <c r="A1128" s="5">
        <v>44958</v>
      </c>
      <c r="B1128" t="s">
        <v>61</v>
      </c>
      <c r="H1128">
        <v>6694</v>
      </c>
      <c r="M1128">
        <v>219</v>
      </c>
      <c r="N1128">
        <v>1417</v>
      </c>
      <c r="O1128">
        <v>5.0000000000000001E-3</v>
      </c>
      <c r="R1128">
        <f t="shared" si="34"/>
        <v>0</v>
      </c>
      <c r="S1128" s="3">
        <f t="shared" si="35"/>
        <v>0</v>
      </c>
    </row>
    <row r="1129" spans="1:19" x14ac:dyDescent="0.3">
      <c r="A1129" s="5">
        <v>44959</v>
      </c>
      <c r="B1129" t="s">
        <v>61</v>
      </c>
      <c r="H1129">
        <v>6694</v>
      </c>
      <c r="M1129">
        <v>219</v>
      </c>
      <c r="N1129">
        <v>1417</v>
      </c>
      <c r="O1129">
        <v>5.0000000000000001E-3</v>
      </c>
      <c r="R1129">
        <f t="shared" si="34"/>
        <v>0</v>
      </c>
      <c r="S1129" s="3">
        <f t="shared" si="35"/>
        <v>0</v>
      </c>
    </row>
    <row r="1130" spans="1:19" x14ac:dyDescent="0.3">
      <c r="A1130" s="5">
        <v>44960</v>
      </c>
      <c r="B1130" t="s">
        <v>61</v>
      </c>
      <c r="H1130">
        <v>6694</v>
      </c>
      <c r="M1130">
        <v>219</v>
      </c>
      <c r="N1130">
        <v>1417</v>
      </c>
      <c r="O1130">
        <v>5.0000000000000001E-3</v>
      </c>
      <c r="R1130">
        <f t="shared" si="34"/>
        <v>0</v>
      </c>
      <c r="S1130" s="3">
        <f t="shared" si="35"/>
        <v>0</v>
      </c>
    </row>
    <row r="1131" spans="1:19" x14ac:dyDescent="0.3">
      <c r="A1131" s="5">
        <v>44961</v>
      </c>
      <c r="B1131" t="s">
        <v>61</v>
      </c>
      <c r="H1131">
        <v>6694</v>
      </c>
      <c r="M1131">
        <v>219</v>
      </c>
      <c r="N1131">
        <v>1417</v>
      </c>
      <c r="O1131">
        <v>5.0000000000000001E-3</v>
      </c>
      <c r="R1131">
        <f t="shared" si="34"/>
        <v>0</v>
      </c>
      <c r="S1131" s="3">
        <f t="shared" si="35"/>
        <v>0</v>
      </c>
    </row>
    <row r="1132" spans="1:19" x14ac:dyDescent="0.3">
      <c r="A1132" s="5">
        <v>44962</v>
      </c>
      <c r="B1132" t="s">
        <v>61</v>
      </c>
      <c r="H1132">
        <v>6694</v>
      </c>
      <c r="M1132">
        <v>219</v>
      </c>
      <c r="N1132">
        <v>1417</v>
      </c>
      <c r="O1132">
        <v>5.0000000000000001E-3</v>
      </c>
      <c r="R1132">
        <f t="shared" si="34"/>
        <v>0</v>
      </c>
      <c r="S1132" s="3">
        <f t="shared" si="35"/>
        <v>0</v>
      </c>
    </row>
    <row r="1133" spans="1:19" x14ac:dyDescent="0.3">
      <c r="A1133" s="5">
        <v>44963</v>
      </c>
      <c r="B1133" t="s">
        <v>61</v>
      </c>
      <c r="H1133">
        <v>6694</v>
      </c>
      <c r="M1133">
        <v>219</v>
      </c>
      <c r="N1133">
        <v>1417</v>
      </c>
      <c r="O1133">
        <v>5.0000000000000001E-3</v>
      </c>
      <c r="R1133">
        <f t="shared" si="34"/>
        <v>0</v>
      </c>
      <c r="S1133" s="3">
        <f t="shared" si="35"/>
        <v>0</v>
      </c>
    </row>
    <row r="1134" spans="1:19" x14ac:dyDescent="0.3">
      <c r="A1134" s="5">
        <v>44964</v>
      </c>
      <c r="B1134" t="s">
        <v>61</v>
      </c>
      <c r="H1134">
        <v>6694</v>
      </c>
      <c r="M1134">
        <v>219</v>
      </c>
      <c r="N1134">
        <v>1417</v>
      </c>
      <c r="O1134">
        <v>5.0000000000000001E-3</v>
      </c>
      <c r="R1134">
        <f t="shared" si="34"/>
        <v>0</v>
      </c>
      <c r="S1134" s="3">
        <f t="shared" si="35"/>
        <v>0</v>
      </c>
    </row>
    <row r="1135" spans="1:19" x14ac:dyDescent="0.3">
      <c r="A1135" s="5">
        <v>44965</v>
      </c>
      <c r="B1135" t="s">
        <v>61</v>
      </c>
      <c r="H1135">
        <v>6694</v>
      </c>
      <c r="M1135">
        <v>219</v>
      </c>
      <c r="N1135">
        <v>1417</v>
      </c>
      <c r="O1135">
        <v>5.0000000000000001E-3</v>
      </c>
      <c r="R1135">
        <f t="shared" si="34"/>
        <v>0</v>
      </c>
      <c r="S1135" s="3">
        <f t="shared" si="35"/>
        <v>0</v>
      </c>
    </row>
    <row r="1136" spans="1:19" x14ac:dyDescent="0.3">
      <c r="A1136" s="5">
        <v>44966</v>
      </c>
      <c r="B1136" t="s">
        <v>61</v>
      </c>
      <c r="H1136">
        <v>6694</v>
      </c>
      <c r="M1136">
        <v>219</v>
      </c>
      <c r="N1136">
        <v>1417</v>
      </c>
      <c r="O1136">
        <v>5.0000000000000001E-3</v>
      </c>
      <c r="R1136">
        <f t="shared" si="34"/>
        <v>0</v>
      </c>
      <c r="S1136" s="3">
        <f t="shared" si="35"/>
        <v>0</v>
      </c>
    </row>
    <row r="1137" spans="1:19" x14ac:dyDescent="0.3">
      <c r="A1137" s="5">
        <v>44967</v>
      </c>
      <c r="B1137" t="s">
        <v>61</v>
      </c>
      <c r="H1137">
        <v>6694</v>
      </c>
      <c r="M1137">
        <v>219</v>
      </c>
      <c r="N1137">
        <v>1417</v>
      </c>
      <c r="O1137">
        <v>5.0000000000000001E-3</v>
      </c>
      <c r="R1137">
        <f t="shared" si="34"/>
        <v>0</v>
      </c>
      <c r="S1137" s="3">
        <f t="shared" si="35"/>
        <v>0</v>
      </c>
    </row>
    <row r="1138" spans="1:19" x14ac:dyDescent="0.3">
      <c r="A1138" s="5">
        <v>44968</v>
      </c>
      <c r="B1138" t="s">
        <v>61</v>
      </c>
      <c r="H1138">
        <v>6694</v>
      </c>
      <c r="M1138">
        <v>219</v>
      </c>
      <c r="N1138">
        <v>1417</v>
      </c>
      <c r="O1138">
        <v>5.0000000000000001E-3</v>
      </c>
      <c r="R1138">
        <f t="shared" si="34"/>
        <v>0</v>
      </c>
      <c r="S1138" s="3">
        <f t="shared" si="35"/>
        <v>0</v>
      </c>
    </row>
    <row r="1139" spans="1:19" x14ac:dyDescent="0.3">
      <c r="A1139" s="5">
        <v>44969</v>
      </c>
      <c r="B1139" t="s">
        <v>61</v>
      </c>
      <c r="H1139">
        <v>6694</v>
      </c>
      <c r="M1139">
        <v>219</v>
      </c>
      <c r="N1139">
        <v>1417</v>
      </c>
      <c r="O1139">
        <v>5.0000000000000001E-3</v>
      </c>
      <c r="R1139">
        <f t="shared" si="34"/>
        <v>0</v>
      </c>
      <c r="S1139" s="3">
        <f t="shared" si="35"/>
        <v>0</v>
      </c>
    </row>
    <row r="1140" spans="1:19" x14ac:dyDescent="0.3">
      <c r="A1140" s="5">
        <v>44970</v>
      </c>
      <c r="B1140" t="s">
        <v>61</v>
      </c>
      <c r="H1140">
        <v>6694</v>
      </c>
      <c r="M1140">
        <v>219</v>
      </c>
      <c r="N1140">
        <v>1417</v>
      </c>
      <c r="O1140">
        <v>5.0000000000000001E-3</v>
      </c>
      <c r="R1140">
        <f t="shared" si="34"/>
        <v>0</v>
      </c>
      <c r="S1140" s="3">
        <f t="shared" si="35"/>
        <v>0</v>
      </c>
    </row>
    <row r="1141" spans="1:19" x14ac:dyDescent="0.3">
      <c r="A1141" s="5">
        <v>44971</v>
      </c>
      <c r="B1141" t="s">
        <v>61</v>
      </c>
      <c r="C1141">
        <v>60976433</v>
      </c>
      <c r="D1141">
        <v>27718158</v>
      </c>
      <c r="E1141">
        <v>24232876</v>
      </c>
      <c r="F1141">
        <v>9025399</v>
      </c>
      <c r="H1141">
        <v>6694</v>
      </c>
      <c r="I1141">
        <v>199.61</v>
      </c>
      <c r="J1141">
        <v>90.74</v>
      </c>
      <c r="K1141">
        <v>79.33</v>
      </c>
      <c r="L1141">
        <v>29.55</v>
      </c>
      <c r="M1141">
        <v>219</v>
      </c>
      <c r="N1141">
        <v>1417</v>
      </c>
      <c r="O1141">
        <v>5.0000000000000001E-3</v>
      </c>
      <c r="R1141">
        <f t="shared" si="34"/>
        <v>11.409999999999997</v>
      </c>
      <c r="S1141" s="3">
        <f t="shared" si="35"/>
        <v>0.85034999999999994</v>
      </c>
    </row>
    <row r="1142" spans="1:19" x14ac:dyDescent="0.3">
      <c r="A1142" s="5">
        <v>44972</v>
      </c>
      <c r="B1142" t="s">
        <v>61</v>
      </c>
      <c r="H1142">
        <v>6548</v>
      </c>
      <c r="M1142">
        <v>214</v>
      </c>
      <c r="N1142">
        <v>1401</v>
      </c>
      <c r="O1142">
        <v>5.0000000000000001E-3</v>
      </c>
      <c r="R1142">
        <f t="shared" si="34"/>
        <v>0</v>
      </c>
      <c r="S1142" s="3">
        <f t="shared" si="35"/>
        <v>0</v>
      </c>
    </row>
    <row r="1143" spans="1:19" x14ac:dyDescent="0.3">
      <c r="A1143" s="5">
        <v>44973</v>
      </c>
      <c r="B1143" t="s">
        <v>61</v>
      </c>
      <c r="H1143">
        <v>6401</v>
      </c>
      <c r="M1143">
        <v>210</v>
      </c>
      <c r="N1143">
        <v>1384</v>
      </c>
      <c r="O1143">
        <v>5.0000000000000001E-3</v>
      </c>
      <c r="R1143">
        <f t="shared" si="34"/>
        <v>0</v>
      </c>
      <c r="S1143" s="3">
        <f t="shared" si="35"/>
        <v>0</v>
      </c>
    </row>
    <row r="1144" spans="1:19" x14ac:dyDescent="0.3">
      <c r="A1144" s="5">
        <v>44974</v>
      </c>
      <c r="B1144" t="s">
        <v>61</v>
      </c>
      <c r="H1144">
        <v>6255</v>
      </c>
      <c r="M1144">
        <v>205</v>
      </c>
      <c r="N1144">
        <v>1367</v>
      </c>
      <c r="O1144">
        <v>4.0000000000000001E-3</v>
      </c>
      <c r="R1144">
        <f t="shared" si="34"/>
        <v>0</v>
      </c>
      <c r="S1144" s="3">
        <f t="shared" si="35"/>
        <v>0</v>
      </c>
    </row>
    <row r="1145" spans="1:19" x14ac:dyDescent="0.3">
      <c r="A1145" s="5">
        <v>44975</v>
      </c>
      <c r="B1145" t="s">
        <v>61</v>
      </c>
      <c r="H1145">
        <v>6109</v>
      </c>
      <c r="M1145">
        <v>200</v>
      </c>
      <c r="N1145">
        <v>1351</v>
      </c>
      <c r="O1145">
        <v>4.0000000000000001E-3</v>
      </c>
      <c r="R1145">
        <f t="shared" si="34"/>
        <v>0</v>
      </c>
      <c r="S1145" s="3">
        <f t="shared" si="35"/>
        <v>0</v>
      </c>
    </row>
    <row r="1146" spans="1:19" x14ac:dyDescent="0.3">
      <c r="A1146" s="5">
        <v>44976</v>
      </c>
      <c r="B1146" t="s">
        <v>61</v>
      </c>
      <c r="H1146">
        <v>5962</v>
      </c>
      <c r="M1146">
        <v>195</v>
      </c>
      <c r="N1146">
        <v>1334</v>
      </c>
      <c r="O1146">
        <v>4.0000000000000001E-3</v>
      </c>
      <c r="R1146">
        <f t="shared" si="34"/>
        <v>0</v>
      </c>
      <c r="S1146" s="3">
        <f t="shared" si="35"/>
        <v>0</v>
      </c>
    </row>
    <row r="1147" spans="1:19" x14ac:dyDescent="0.3">
      <c r="A1147" s="5">
        <v>44977</v>
      </c>
      <c r="B1147" t="s">
        <v>61</v>
      </c>
      <c r="H1147">
        <v>5816</v>
      </c>
      <c r="M1147">
        <v>190</v>
      </c>
      <c r="N1147">
        <v>1318</v>
      </c>
      <c r="O1147">
        <v>4.0000000000000001E-3</v>
      </c>
      <c r="R1147">
        <f t="shared" si="34"/>
        <v>0</v>
      </c>
      <c r="S1147" s="3">
        <f t="shared" si="35"/>
        <v>0</v>
      </c>
    </row>
    <row r="1148" spans="1:19" x14ac:dyDescent="0.3">
      <c r="A1148" s="5">
        <v>44978</v>
      </c>
      <c r="B1148" t="s">
        <v>61</v>
      </c>
      <c r="H1148">
        <v>5670</v>
      </c>
      <c r="M1148">
        <v>186</v>
      </c>
      <c r="N1148">
        <v>1301</v>
      </c>
      <c r="O1148">
        <v>4.0000000000000001E-3</v>
      </c>
      <c r="R1148">
        <f t="shared" si="34"/>
        <v>0</v>
      </c>
      <c r="S1148" s="3">
        <f t="shared" si="35"/>
        <v>0</v>
      </c>
    </row>
    <row r="1149" spans="1:19" x14ac:dyDescent="0.3">
      <c r="A1149" s="5">
        <v>44979</v>
      </c>
      <c r="B1149" t="s">
        <v>61</v>
      </c>
      <c r="H1149">
        <v>5670</v>
      </c>
      <c r="M1149">
        <v>186</v>
      </c>
      <c r="N1149">
        <v>1301</v>
      </c>
      <c r="O1149">
        <v>4.0000000000000001E-3</v>
      </c>
      <c r="R1149">
        <f t="shared" si="34"/>
        <v>0</v>
      </c>
      <c r="S1149" s="3">
        <f t="shared" si="35"/>
        <v>0</v>
      </c>
    </row>
    <row r="1150" spans="1:19" x14ac:dyDescent="0.3">
      <c r="A1150" s="5">
        <v>44980</v>
      </c>
      <c r="B1150" t="s">
        <v>61</v>
      </c>
      <c r="H1150">
        <v>5670</v>
      </c>
      <c r="M1150">
        <v>186</v>
      </c>
      <c r="N1150">
        <v>1301</v>
      </c>
      <c r="O1150">
        <v>4.0000000000000001E-3</v>
      </c>
      <c r="R1150">
        <f t="shared" si="34"/>
        <v>0</v>
      </c>
      <c r="S1150" s="3">
        <f t="shared" si="35"/>
        <v>0</v>
      </c>
    </row>
    <row r="1151" spans="1:19" x14ac:dyDescent="0.3">
      <c r="A1151" s="5">
        <v>44981</v>
      </c>
      <c r="B1151" t="s">
        <v>61</v>
      </c>
      <c r="H1151">
        <v>5670</v>
      </c>
      <c r="M1151">
        <v>186</v>
      </c>
      <c r="N1151">
        <v>1301</v>
      </c>
      <c r="O1151">
        <v>4.0000000000000001E-3</v>
      </c>
      <c r="R1151">
        <f t="shared" si="34"/>
        <v>0</v>
      </c>
      <c r="S1151" s="3">
        <f t="shared" si="35"/>
        <v>0</v>
      </c>
    </row>
    <row r="1152" spans="1:19" x14ac:dyDescent="0.3">
      <c r="A1152" s="5">
        <v>44982</v>
      </c>
      <c r="B1152" t="s">
        <v>61</v>
      </c>
      <c r="H1152">
        <v>5670</v>
      </c>
      <c r="M1152">
        <v>186</v>
      </c>
      <c r="N1152">
        <v>1301</v>
      </c>
      <c r="O1152">
        <v>4.0000000000000001E-3</v>
      </c>
      <c r="R1152">
        <f t="shared" si="34"/>
        <v>0</v>
      </c>
      <c r="S1152" s="3">
        <f t="shared" si="35"/>
        <v>0</v>
      </c>
    </row>
    <row r="1153" spans="1:19" x14ac:dyDescent="0.3">
      <c r="A1153" s="5">
        <v>44983</v>
      </c>
      <c r="B1153" t="s">
        <v>61</v>
      </c>
      <c r="H1153">
        <v>5670</v>
      </c>
      <c r="M1153">
        <v>186</v>
      </c>
      <c r="N1153">
        <v>1301</v>
      </c>
      <c r="O1153">
        <v>4.0000000000000001E-3</v>
      </c>
      <c r="R1153">
        <f t="shared" si="34"/>
        <v>0</v>
      </c>
      <c r="S1153" s="3">
        <f t="shared" si="35"/>
        <v>0</v>
      </c>
    </row>
    <row r="1154" spans="1:19" x14ac:dyDescent="0.3">
      <c r="A1154" s="5">
        <v>44984</v>
      </c>
      <c r="B1154" t="s">
        <v>61</v>
      </c>
      <c r="H1154">
        <v>5670</v>
      </c>
      <c r="M1154">
        <v>186</v>
      </c>
      <c r="N1154">
        <v>1301</v>
      </c>
      <c r="O1154">
        <v>4.0000000000000001E-3</v>
      </c>
      <c r="R1154">
        <f t="shared" si="34"/>
        <v>0</v>
      </c>
      <c r="S1154" s="3">
        <f t="shared" si="35"/>
        <v>0</v>
      </c>
    </row>
    <row r="1155" spans="1:19" x14ac:dyDescent="0.3">
      <c r="A1155" s="5">
        <v>44985</v>
      </c>
      <c r="B1155" t="s">
        <v>61</v>
      </c>
      <c r="H1155">
        <v>5670</v>
      </c>
      <c r="M1155">
        <v>186</v>
      </c>
      <c r="N1155">
        <v>1301</v>
      </c>
      <c r="O1155">
        <v>4.0000000000000001E-3</v>
      </c>
      <c r="R1155">
        <f t="shared" si="34"/>
        <v>0</v>
      </c>
      <c r="S1155" s="3">
        <f t="shared" si="35"/>
        <v>0</v>
      </c>
    </row>
    <row r="1156" spans="1:19" x14ac:dyDescent="0.3">
      <c r="A1156" s="5">
        <v>44986</v>
      </c>
      <c r="B1156" t="s">
        <v>61</v>
      </c>
      <c r="H1156">
        <v>5670</v>
      </c>
      <c r="M1156">
        <v>186</v>
      </c>
      <c r="N1156">
        <v>1301</v>
      </c>
      <c r="O1156">
        <v>4.0000000000000001E-3</v>
      </c>
      <c r="R1156">
        <f t="shared" si="34"/>
        <v>0</v>
      </c>
      <c r="S1156" s="3">
        <f t="shared" si="35"/>
        <v>0</v>
      </c>
    </row>
    <row r="1157" spans="1:19" x14ac:dyDescent="0.3">
      <c r="A1157" s="5">
        <v>44987</v>
      </c>
      <c r="B1157" t="s">
        <v>61</v>
      </c>
      <c r="H1157">
        <v>5670</v>
      </c>
      <c r="M1157">
        <v>186</v>
      </c>
      <c r="N1157">
        <v>1301</v>
      </c>
      <c r="O1157">
        <v>4.0000000000000001E-3</v>
      </c>
      <c r="R1157">
        <f t="shared" si="34"/>
        <v>0</v>
      </c>
      <c r="S1157" s="3">
        <f t="shared" si="35"/>
        <v>0</v>
      </c>
    </row>
    <row r="1158" spans="1:19" x14ac:dyDescent="0.3">
      <c r="A1158" s="5">
        <v>44988</v>
      </c>
      <c r="B1158" t="s">
        <v>61</v>
      </c>
      <c r="H1158">
        <v>5670</v>
      </c>
      <c r="M1158">
        <v>186</v>
      </c>
      <c r="N1158">
        <v>1301</v>
      </c>
      <c r="O1158">
        <v>4.0000000000000001E-3</v>
      </c>
      <c r="R1158">
        <f t="shared" ref="R1158:R1221" si="36">J1158-K1158</f>
        <v>0</v>
      </c>
      <c r="S1158" s="3">
        <f t="shared" ref="S1158:S1221" si="37">MIN(1, (0.5*MAX(R1158,0) + 1*K1158)/100 )</f>
        <v>0</v>
      </c>
    </row>
    <row r="1159" spans="1:19" x14ac:dyDescent="0.3">
      <c r="A1159" s="5">
        <v>44989</v>
      </c>
      <c r="B1159" t="s">
        <v>61</v>
      </c>
      <c r="H1159">
        <v>5670</v>
      </c>
      <c r="M1159">
        <v>186</v>
      </c>
      <c r="N1159">
        <v>1301</v>
      </c>
      <c r="O1159">
        <v>4.0000000000000001E-3</v>
      </c>
      <c r="R1159">
        <f t="shared" si="36"/>
        <v>0</v>
      </c>
      <c r="S1159" s="3">
        <f t="shared" si="37"/>
        <v>0</v>
      </c>
    </row>
    <row r="1160" spans="1:19" x14ac:dyDescent="0.3">
      <c r="A1160" s="5">
        <v>44990</v>
      </c>
      <c r="B1160" t="s">
        <v>61</v>
      </c>
      <c r="H1160">
        <v>5670</v>
      </c>
      <c r="M1160">
        <v>186</v>
      </c>
      <c r="N1160">
        <v>1301</v>
      </c>
      <c r="O1160">
        <v>4.0000000000000001E-3</v>
      </c>
      <c r="R1160">
        <f t="shared" si="36"/>
        <v>0</v>
      </c>
      <c r="S1160" s="3">
        <f t="shared" si="37"/>
        <v>0</v>
      </c>
    </row>
    <row r="1161" spans="1:19" x14ac:dyDescent="0.3">
      <c r="A1161" s="5">
        <v>44991</v>
      </c>
      <c r="B1161" t="s">
        <v>61</v>
      </c>
      <c r="H1161">
        <v>5670</v>
      </c>
      <c r="M1161">
        <v>186</v>
      </c>
      <c r="N1161">
        <v>1301</v>
      </c>
      <c r="O1161">
        <v>4.0000000000000001E-3</v>
      </c>
      <c r="R1161">
        <f t="shared" si="36"/>
        <v>0</v>
      </c>
      <c r="S1161" s="3">
        <f t="shared" si="37"/>
        <v>0</v>
      </c>
    </row>
    <row r="1162" spans="1:19" x14ac:dyDescent="0.3">
      <c r="A1162" s="5">
        <v>44992</v>
      </c>
      <c r="B1162" t="s">
        <v>61</v>
      </c>
      <c r="H1162">
        <v>5670</v>
      </c>
      <c r="M1162">
        <v>186</v>
      </c>
      <c r="N1162">
        <v>1301</v>
      </c>
      <c r="O1162">
        <v>4.0000000000000001E-3</v>
      </c>
      <c r="R1162">
        <f t="shared" si="36"/>
        <v>0</v>
      </c>
      <c r="S1162" s="3">
        <f t="shared" si="37"/>
        <v>0</v>
      </c>
    </row>
    <row r="1163" spans="1:19" x14ac:dyDescent="0.3">
      <c r="A1163" s="5">
        <v>44993</v>
      </c>
      <c r="B1163" t="s">
        <v>61</v>
      </c>
      <c r="H1163">
        <v>5670</v>
      </c>
      <c r="M1163">
        <v>186</v>
      </c>
      <c r="N1163">
        <v>1301</v>
      </c>
      <c r="O1163">
        <v>4.0000000000000001E-3</v>
      </c>
      <c r="R1163">
        <f t="shared" si="36"/>
        <v>0</v>
      </c>
      <c r="S1163" s="3">
        <f t="shared" si="37"/>
        <v>0</v>
      </c>
    </row>
    <row r="1164" spans="1:19" x14ac:dyDescent="0.3">
      <c r="A1164" s="5">
        <v>44994</v>
      </c>
      <c r="B1164" t="s">
        <v>61</v>
      </c>
      <c r="H1164">
        <v>5670</v>
      </c>
      <c r="M1164">
        <v>186</v>
      </c>
      <c r="N1164">
        <v>1301</v>
      </c>
      <c r="O1164">
        <v>4.0000000000000001E-3</v>
      </c>
      <c r="R1164">
        <f t="shared" si="36"/>
        <v>0</v>
      </c>
      <c r="S1164" s="3">
        <f t="shared" si="37"/>
        <v>0</v>
      </c>
    </row>
    <row r="1165" spans="1:19" x14ac:dyDescent="0.3">
      <c r="A1165" s="5">
        <v>44995</v>
      </c>
      <c r="B1165" t="s">
        <v>61</v>
      </c>
      <c r="H1165">
        <v>5670</v>
      </c>
      <c r="M1165">
        <v>186</v>
      </c>
      <c r="N1165">
        <v>1301</v>
      </c>
      <c r="O1165">
        <v>4.0000000000000001E-3</v>
      </c>
      <c r="R1165">
        <f t="shared" si="36"/>
        <v>0</v>
      </c>
      <c r="S1165" s="3">
        <f t="shared" si="37"/>
        <v>0</v>
      </c>
    </row>
    <row r="1166" spans="1:19" x14ac:dyDescent="0.3">
      <c r="A1166" s="5">
        <v>44996</v>
      </c>
      <c r="B1166" t="s">
        <v>61</v>
      </c>
      <c r="H1166">
        <v>5670</v>
      </c>
      <c r="M1166">
        <v>186</v>
      </c>
      <c r="N1166">
        <v>1301</v>
      </c>
      <c r="O1166">
        <v>4.0000000000000001E-3</v>
      </c>
      <c r="R1166">
        <f t="shared" si="36"/>
        <v>0</v>
      </c>
      <c r="S1166" s="3">
        <f t="shared" si="37"/>
        <v>0</v>
      </c>
    </row>
    <row r="1167" spans="1:19" x14ac:dyDescent="0.3">
      <c r="A1167" s="5">
        <v>44997</v>
      </c>
      <c r="B1167" t="s">
        <v>61</v>
      </c>
      <c r="H1167">
        <v>5670</v>
      </c>
      <c r="M1167">
        <v>186</v>
      </c>
      <c r="N1167">
        <v>1301</v>
      </c>
      <c r="O1167">
        <v>4.0000000000000001E-3</v>
      </c>
      <c r="R1167">
        <f t="shared" si="36"/>
        <v>0</v>
      </c>
      <c r="S1167" s="3">
        <f t="shared" si="37"/>
        <v>0</v>
      </c>
    </row>
    <row r="1168" spans="1:19" x14ac:dyDescent="0.3">
      <c r="A1168" s="5">
        <v>44998</v>
      </c>
      <c r="B1168" t="s">
        <v>61</v>
      </c>
      <c r="H1168">
        <v>5670</v>
      </c>
      <c r="M1168">
        <v>186</v>
      </c>
      <c r="N1168">
        <v>1301</v>
      </c>
      <c r="O1168">
        <v>4.0000000000000001E-3</v>
      </c>
      <c r="R1168">
        <f t="shared" si="36"/>
        <v>0</v>
      </c>
      <c r="S1168" s="3">
        <f t="shared" si="37"/>
        <v>0</v>
      </c>
    </row>
    <row r="1169" spans="1:19" x14ac:dyDescent="0.3">
      <c r="A1169" s="5">
        <v>44999</v>
      </c>
      <c r="B1169" t="s">
        <v>61</v>
      </c>
      <c r="H1169">
        <v>5670</v>
      </c>
      <c r="M1169">
        <v>186</v>
      </c>
      <c r="N1169">
        <v>1301</v>
      </c>
      <c r="O1169">
        <v>4.0000000000000001E-3</v>
      </c>
      <c r="R1169">
        <f t="shared" si="36"/>
        <v>0</v>
      </c>
      <c r="S1169" s="3">
        <f t="shared" si="37"/>
        <v>0</v>
      </c>
    </row>
    <row r="1170" spans="1:19" x14ac:dyDescent="0.3">
      <c r="A1170" s="5">
        <v>45000</v>
      </c>
      <c r="B1170" t="s">
        <v>61</v>
      </c>
      <c r="H1170">
        <v>5670</v>
      </c>
      <c r="M1170">
        <v>186</v>
      </c>
      <c r="N1170">
        <v>1301</v>
      </c>
      <c r="O1170">
        <v>4.0000000000000001E-3</v>
      </c>
      <c r="R1170">
        <f t="shared" si="36"/>
        <v>0</v>
      </c>
      <c r="S1170" s="3">
        <f t="shared" si="37"/>
        <v>0</v>
      </c>
    </row>
    <row r="1171" spans="1:19" x14ac:dyDescent="0.3">
      <c r="A1171" s="5">
        <v>45001</v>
      </c>
      <c r="B1171" t="s">
        <v>61</v>
      </c>
      <c r="H1171">
        <v>5670</v>
      </c>
      <c r="M1171">
        <v>186</v>
      </c>
      <c r="N1171">
        <v>1301</v>
      </c>
      <c r="O1171">
        <v>4.0000000000000001E-3</v>
      </c>
      <c r="R1171">
        <f t="shared" si="36"/>
        <v>0</v>
      </c>
      <c r="S1171" s="3">
        <f t="shared" si="37"/>
        <v>0</v>
      </c>
    </row>
    <row r="1172" spans="1:19" x14ac:dyDescent="0.3">
      <c r="A1172" s="5">
        <v>45002</v>
      </c>
      <c r="B1172" t="s">
        <v>61</v>
      </c>
      <c r="H1172">
        <v>5670</v>
      </c>
      <c r="M1172">
        <v>186</v>
      </c>
      <c r="N1172">
        <v>1301</v>
      </c>
      <c r="O1172">
        <v>4.0000000000000001E-3</v>
      </c>
      <c r="R1172">
        <f t="shared" si="36"/>
        <v>0</v>
      </c>
      <c r="S1172" s="3">
        <f t="shared" si="37"/>
        <v>0</v>
      </c>
    </row>
    <row r="1173" spans="1:19" x14ac:dyDescent="0.3">
      <c r="A1173" s="5">
        <v>45003</v>
      </c>
      <c r="B1173" t="s">
        <v>61</v>
      </c>
      <c r="H1173">
        <v>5670</v>
      </c>
      <c r="M1173">
        <v>186</v>
      </c>
      <c r="N1173">
        <v>1301</v>
      </c>
      <c r="O1173">
        <v>4.0000000000000001E-3</v>
      </c>
      <c r="R1173">
        <f t="shared" si="36"/>
        <v>0</v>
      </c>
      <c r="S1173" s="3">
        <f t="shared" si="37"/>
        <v>0</v>
      </c>
    </row>
    <row r="1174" spans="1:19" x14ac:dyDescent="0.3">
      <c r="A1174" s="5">
        <v>45004</v>
      </c>
      <c r="B1174" t="s">
        <v>61</v>
      </c>
      <c r="H1174">
        <v>5670</v>
      </c>
      <c r="M1174">
        <v>186</v>
      </c>
      <c r="N1174">
        <v>1301</v>
      </c>
      <c r="O1174">
        <v>4.0000000000000001E-3</v>
      </c>
      <c r="R1174">
        <f t="shared" si="36"/>
        <v>0</v>
      </c>
      <c r="S1174" s="3">
        <f t="shared" si="37"/>
        <v>0</v>
      </c>
    </row>
    <row r="1175" spans="1:19" x14ac:dyDescent="0.3">
      <c r="A1175" s="5">
        <v>45005</v>
      </c>
      <c r="B1175" t="s">
        <v>61</v>
      </c>
      <c r="H1175">
        <v>5670</v>
      </c>
      <c r="M1175">
        <v>186</v>
      </c>
      <c r="N1175">
        <v>1301</v>
      </c>
      <c r="O1175">
        <v>4.0000000000000001E-3</v>
      </c>
      <c r="R1175">
        <f t="shared" si="36"/>
        <v>0</v>
      </c>
      <c r="S1175" s="3">
        <f t="shared" si="37"/>
        <v>0</v>
      </c>
    </row>
    <row r="1176" spans="1:19" x14ac:dyDescent="0.3">
      <c r="A1176" s="5">
        <v>45006</v>
      </c>
      <c r="B1176" t="s">
        <v>61</v>
      </c>
      <c r="C1176">
        <v>61174872</v>
      </c>
      <c r="D1176">
        <v>27763693</v>
      </c>
      <c r="E1176">
        <v>24303411</v>
      </c>
      <c r="F1176">
        <v>9107768</v>
      </c>
      <c r="H1176">
        <v>5670</v>
      </c>
      <c r="I1176">
        <v>200.26</v>
      </c>
      <c r="J1176">
        <v>90.89</v>
      </c>
      <c r="K1176">
        <v>79.56</v>
      </c>
      <c r="L1176">
        <v>29.82</v>
      </c>
      <c r="M1176">
        <v>186</v>
      </c>
      <c r="N1176">
        <v>1301</v>
      </c>
      <c r="O1176">
        <v>4.0000000000000001E-3</v>
      </c>
      <c r="R1176">
        <f t="shared" si="36"/>
        <v>11.329999999999998</v>
      </c>
      <c r="S1176" s="3">
        <f t="shared" si="37"/>
        <v>0.85224999999999995</v>
      </c>
    </row>
    <row r="1177" spans="1:19" x14ac:dyDescent="0.3">
      <c r="A1177" s="5">
        <v>45007</v>
      </c>
      <c r="B1177" t="s">
        <v>61</v>
      </c>
      <c r="H1177">
        <v>7275</v>
      </c>
      <c r="M1177">
        <v>238</v>
      </c>
      <c r="N1177">
        <v>1210</v>
      </c>
      <c r="O1177">
        <v>4.0000000000000001E-3</v>
      </c>
      <c r="R1177">
        <f t="shared" si="36"/>
        <v>0</v>
      </c>
      <c r="S1177" s="3">
        <f t="shared" si="37"/>
        <v>0</v>
      </c>
    </row>
    <row r="1178" spans="1:19" x14ac:dyDescent="0.3">
      <c r="A1178" s="5">
        <v>45008</v>
      </c>
      <c r="B1178" t="s">
        <v>61</v>
      </c>
      <c r="H1178">
        <v>8881</v>
      </c>
      <c r="M1178">
        <v>291</v>
      </c>
      <c r="N1178">
        <v>1119</v>
      </c>
      <c r="O1178">
        <v>4.0000000000000001E-3</v>
      </c>
      <c r="R1178">
        <f t="shared" si="36"/>
        <v>0</v>
      </c>
      <c r="S1178" s="3">
        <f t="shared" si="37"/>
        <v>0</v>
      </c>
    </row>
    <row r="1179" spans="1:19" x14ac:dyDescent="0.3">
      <c r="A1179" s="5">
        <v>45009</v>
      </c>
      <c r="B1179" t="s">
        <v>61</v>
      </c>
      <c r="H1179">
        <v>10487</v>
      </c>
      <c r="M1179">
        <v>343</v>
      </c>
      <c r="N1179">
        <v>1028</v>
      </c>
      <c r="O1179">
        <v>3.0000000000000001E-3</v>
      </c>
      <c r="R1179">
        <f t="shared" si="36"/>
        <v>0</v>
      </c>
      <c r="S1179" s="3">
        <f t="shared" si="37"/>
        <v>0</v>
      </c>
    </row>
    <row r="1180" spans="1:19" x14ac:dyDescent="0.3">
      <c r="A1180" s="5">
        <v>45010</v>
      </c>
      <c r="B1180" t="s">
        <v>61</v>
      </c>
      <c r="H1180">
        <v>12092</v>
      </c>
      <c r="M1180">
        <v>396</v>
      </c>
      <c r="N1180">
        <v>937</v>
      </c>
      <c r="O1180">
        <v>3.0000000000000001E-3</v>
      </c>
      <c r="R1180">
        <f t="shared" si="36"/>
        <v>0</v>
      </c>
      <c r="S1180" s="3">
        <f t="shared" si="37"/>
        <v>0</v>
      </c>
    </row>
    <row r="1181" spans="1:19" x14ac:dyDescent="0.3">
      <c r="A1181" s="5">
        <v>45011</v>
      </c>
      <c r="B1181" t="s">
        <v>61</v>
      </c>
      <c r="H1181">
        <v>13698</v>
      </c>
      <c r="M1181">
        <v>448</v>
      </c>
      <c r="N1181">
        <v>846</v>
      </c>
      <c r="O1181">
        <v>3.0000000000000001E-3</v>
      </c>
      <c r="R1181">
        <f t="shared" si="36"/>
        <v>0</v>
      </c>
      <c r="S1181" s="3">
        <f t="shared" si="37"/>
        <v>0</v>
      </c>
    </row>
    <row r="1182" spans="1:19" x14ac:dyDescent="0.3">
      <c r="A1182" s="5">
        <v>45012</v>
      </c>
      <c r="B1182" t="s">
        <v>61</v>
      </c>
      <c r="H1182">
        <v>15304</v>
      </c>
      <c r="M1182">
        <v>501</v>
      </c>
      <c r="N1182">
        <v>755</v>
      </c>
      <c r="O1182">
        <v>2E-3</v>
      </c>
      <c r="R1182">
        <f t="shared" si="36"/>
        <v>0</v>
      </c>
      <c r="S1182" s="3">
        <f t="shared" si="37"/>
        <v>0</v>
      </c>
    </row>
    <row r="1183" spans="1:19" x14ac:dyDescent="0.3">
      <c r="A1183" s="5">
        <v>45013</v>
      </c>
      <c r="B1183" t="s">
        <v>61</v>
      </c>
      <c r="H1183">
        <v>16909</v>
      </c>
      <c r="M1183">
        <v>554</v>
      </c>
      <c r="N1183">
        <v>664</v>
      </c>
      <c r="O1183">
        <v>2E-3</v>
      </c>
      <c r="R1183">
        <f t="shared" si="36"/>
        <v>0</v>
      </c>
      <c r="S1183" s="3">
        <f t="shared" si="37"/>
        <v>0</v>
      </c>
    </row>
    <row r="1184" spans="1:19" x14ac:dyDescent="0.3">
      <c r="A1184" s="5">
        <v>45014</v>
      </c>
      <c r="B1184" t="s">
        <v>61</v>
      </c>
      <c r="H1184">
        <v>16909</v>
      </c>
      <c r="M1184">
        <v>554</v>
      </c>
      <c r="N1184">
        <v>664</v>
      </c>
      <c r="O1184">
        <v>2E-3</v>
      </c>
      <c r="R1184">
        <f t="shared" si="36"/>
        <v>0</v>
      </c>
      <c r="S1184" s="3">
        <f t="shared" si="37"/>
        <v>0</v>
      </c>
    </row>
    <row r="1185" spans="1:19" x14ac:dyDescent="0.3">
      <c r="A1185" s="5">
        <v>45015</v>
      </c>
      <c r="B1185" t="s">
        <v>61</v>
      </c>
      <c r="H1185">
        <v>16909</v>
      </c>
      <c r="M1185">
        <v>554</v>
      </c>
      <c r="N1185">
        <v>664</v>
      </c>
      <c r="O1185">
        <v>2E-3</v>
      </c>
      <c r="R1185">
        <f t="shared" si="36"/>
        <v>0</v>
      </c>
      <c r="S1185" s="3">
        <f t="shared" si="37"/>
        <v>0</v>
      </c>
    </row>
    <row r="1186" spans="1:19" x14ac:dyDescent="0.3">
      <c r="A1186" s="5">
        <v>45016</v>
      </c>
      <c r="B1186" t="s">
        <v>61</v>
      </c>
      <c r="H1186">
        <v>16909</v>
      </c>
      <c r="M1186">
        <v>554</v>
      </c>
      <c r="N1186">
        <v>664</v>
      </c>
      <c r="O1186">
        <v>2E-3</v>
      </c>
      <c r="R1186">
        <f t="shared" si="36"/>
        <v>0</v>
      </c>
      <c r="S1186" s="3">
        <f t="shared" si="37"/>
        <v>0</v>
      </c>
    </row>
    <row r="1187" spans="1:19" x14ac:dyDescent="0.3">
      <c r="A1187" s="5">
        <v>45017</v>
      </c>
      <c r="B1187" t="s">
        <v>61</v>
      </c>
      <c r="H1187">
        <v>16909</v>
      </c>
      <c r="M1187">
        <v>554</v>
      </c>
      <c r="N1187">
        <v>664</v>
      </c>
      <c r="O1187">
        <v>2E-3</v>
      </c>
      <c r="R1187">
        <f t="shared" si="36"/>
        <v>0</v>
      </c>
      <c r="S1187" s="3">
        <f t="shared" si="37"/>
        <v>0</v>
      </c>
    </row>
    <row r="1188" spans="1:19" x14ac:dyDescent="0.3">
      <c r="A1188" s="5">
        <v>45018</v>
      </c>
      <c r="B1188" t="s">
        <v>61</v>
      </c>
      <c r="H1188">
        <v>16909</v>
      </c>
      <c r="M1188">
        <v>554</v>
      </c>
      <c r="N1188">
        <v>664</v>
      </c>
      <c r="O1188">
        <v>2E-3</v>
      </c>
      <c r="R1188">
        <f t="shared" si="36"/>
        <v>0</v>
      </c>
      <c r="S1188" s="3">
        <f t="shared" si="37"/>
        <v>0</v>
      </c>
    </row>
    <row r="1189" spans="1:19" x14ac:dyDescent="0.3">
      <c r="A1189" s="5">
        <v>45019</v>
      </c>
      <c r="B1189" t="s">
        <v>61</v>
      </c>
      <c r="H1189">
        <v>16909</v>
      </c>
      <c r="M1189">
        <v>554</v>
      </c>
      <c r="N1189">
        <v>664</v>
      </c>
      <c r="O1189">
        <v>2E-3</v>
      </c>
      <c r="R1189">
        <f t="shared" si="36"/>
        <v>0</v>
      </c>
      <c r="S1189" s="3">
        <f t="shared" si="37"/>
        <v>0</v>
      </c>
    </row>
    <row r="1190" spans="1:19" x14ac:dyDescent="0.3">
      <c r="A1190" s="5">
        <v>45020</v>
      </c>
      <c r="B1190" t="s">
        <v>61</v>
      </c>
      <c r="C1190">
        <v>61411604</v>
      </c>
      <c r="D1190">
        <v>27772996</v>
      </c>
      <c r="E1190">
        <v>24324965</v>
      </c>
      <c r="F1190">
        <v>9313643</v>
      </c>
      <c r="H1190">
        <v>16909</v>
      </c>
      <c r="I1190">
        <v>201.04</v>
      </c>
      <c r="J1190">
        <v>90.92</v>
      </c>
      <c r="K1190">
        <v>79.63</v>
      </c>
      <c r="L1190">
        <v>30.49</v>
      </c>
      <c r="M1190">
        <v>554</v>
      </c>
      <c r="N1190">
        <v>664</v>
      </c>
      <c r="O1190">
        <v>2E-3</v>
      </c>
      <c r="R1190">
        <f t="shared" si="36"/>
        <v>11.290000000000006</v>
      </c>
      <c r="S1190" s="3">
        <f t="shared" si="37"/>
        <v>0.85275000000000001</v>
      </c>
    </row>
    <row r="1191" spans="1:19" x14ac:dyDescent="0.3">
      <c r="A1191" s="5">
        <v>45021</v>
      </c>
      <c r="B1191" t="s">
        <v>61</v>
      </c>
      <c r="H1191">
        <v>15821</v>
      </c>
      <c r="M1191">
        <v>518</v>
      </c>
      <c r="N1191">
        <v>598</v>
      </c>
      <c r="O1191">
        <v>2E-3</v>
      </c>
      <c r="R1191">
        <f t="shared" si="36"/>
        <v>0</v>
      </c>
      <c r="S1191" s="3">
        <f t="shared" si="37"/>
        <v>0</v>
      </c>
    </row>
    <row r="1192" spans="1:19" x14ac:dyDescent="0.3">
      <c r="A1192" s="5">
        <v>45022</v>
      </c>
      <c r="B1192" t="s">
        <v>61</v>
      </c>
      <c r="H1192">
        <v>14733</v>
      </c>
      <c r="M1192">
        <v>482</v>
      </c>
      <c r="N1192">
        <v>531</v>
      </c>
      <c r="O1192">
        <v>2E-3</v>
      </c>
      <c r="R1192">
        <f t="shared" si="36"/>
        <v>0</v>
      </c>
      <c r="S1192" s="3">
        <f t="shared" si="37"/>
        <v>0</v>
      </c>
    </row>
    <row r="1193" spans="1:19" x14ac:dyDescent="0.3">
      <c r="A1193" s="5">
        <v>45023</v>
      </c>
      <c r="B1193" t="s">
        <v>61</v>
      </c>
      <c r="H1193">
        <v>13644</v>
      </c>
      <c r="M1193">
        <v>447</v>
      </c>
      <c r="N1193">
        <v>464</v>
      </c>
      <c r="O1193">
        <v>2E-3</v>
      </c>
      <c r="R1193">
        <f t="shared" si="36"/>
        <v>0</v>
      </c>
      <c r="S1193" s="3">
        <f t="shared" si="37"/>
        <v>0</v>
      </c>
    </row>
    <row r="1194" spans="1:19" x14ac:dyDescent="0.3">
      <c r="A1194" s="5">
        <v>45024</v>
      </c>
      <c r="B1194" t="s">
        <v>61</v>
      </c>
      <c r="H1194">
        <v>12556</v>
      </c>
      <c r="M1194">
        <v>411</v>
      </c>
      <c r="N1194">
        <v>397</v>
      </c>
      <c r="O1194">
        <v>1E-3</v>
      </c>
      <c r="R1194">
        <f t="shared" si="36"/>
        <v>0</v>
      </c>
      <c r="S1194" s="3">
        <f t="shared" si="37"/>
        <v>0</v>
      </c>
    </row>
    <row r="1195" spans="1:19" x14ac:dyDescent="0.3">
      <c r="A1195" s="5">
        <v>45025</v>
      </c>
      <c r="B1195" t="s">
        <v>61</v>
      </c>
      <c r="H1195">
        <v>11467</v>
      </c>
      <c r="M1195">
        <v>375</v>
      </c>
      <c r="N1195">
        <v>330</v>
      </c>
      <c r="O1195">
        <v>1E-3</v>
      </c>
      <c r="R1195">
        <f t="shared" si="36"/>
        <v>0</v>
      </c>
      <c r="S1195" s="3">
        <f t="shared" si="37"/>
        <v>0</v>
      </c>
    </row>
    <row r="1196" spans="1:19" x14ac:dyDescent="0.3">
      <c r="A1196" s="5">
        <v>45026</v>
      </c>
      <c r="B1196" t="s">
        <v>61</v>
      </c>
      <c r="H1196">
        <v>10379</v>
      </c>
      <c r="M1196">
        <v>340</v>
      </c>
      <c r="N1196">
        <v>263</v>
      </c>
      <c r="O1196">
        <v>1E-3</v>
      </c>
      <c r="R1196">
        <f t="shared" si="36"/>
        <v>0</v>
      </c>
      <c r="S1196" s="3">
        <f t="shared" si="37"/>
        <v>0</v>
      </c>
    </row>
    <row r="1197" spans="1:19" x14ac:dyDescent="0.3">
      <c r="A1197" s="5">
        <v>45027</v>
      </c>
      <c r="B1197" t="s">
        <v>61</v>
      </c>
      <c r="C1197">
        <v>61476637</v>
      </c>
      <c r="D1197">
        <v>27774365</v>
      </c>
      <c r="E1197">
        <v>24331076</v>
      </c>
      <c r="F1197">
        <v>9371196</v>
      </c>
      <c r="H1197">
        <v>9290</v>
      </c>
      <c r="I1197">
        <v>201.25</v>
      </c>
      <c r="J1197">
        <v>90.92</v>
      </c>
      <c r="K1197">
        <v>79.650000000000006</v>
      </c>
      <c r="L1197">
        <v>30.68</v>
      </c>
      <c r="M1197">
        <v>304</v>
      </c>
      <c r="N1197">
        <v>196</v>
      </c>
      <c r="O1197">
        <v>1E-3</v>
      </c>
      <c r="R1197">
        <f t="shared" si="36"/>
        <v>11.269999999999996</v>
      </c>
      <c r="S1197" s="3">
        <f t="shared" si="37"/>
        <v>0.85285</v>
      </c>
    </row>
    <row r="1198" spans="1:19" x14ac:dyDescent="0.3">
      <c r="A1198" s="5">
        <v>45028</v>
      </c>
      <c r="B1198" t="s">
        <v>61</v>
      </c>
      <c r="H1198">
        <v>9811</v>
      </c>
      <c r="M1198">
        <v>321</v>
      </c>
      <c r="N1198">
        <v>279</v>
      </c>
      <c r="O1198">
        <v>1E-3</v>
      </c>
      <c r="R1198">
        <f t="shared" si="36"/>
        <v>0</v>
      </c>
      <c r="S1198" s="3">
        <f t="shared" si="37"/>
        <v>0</v>
      </c>
    </row>
    <row r="1199" spans="1:19" x14ac:dyDescent="0.3">
      <c r="A1199" s="5">
        <v>45029</v>
      </c>
      <c r="B1199" t="s">
        <v>61</v>
      </c>
      <c r="H1199">
        <v>10332</v>
      </c>
      <c r="M1199">
        <v>338</v>
      </c>
      <c r="N1199">
        <v>363</v>
      </c>
      <c r="O1199">
        <v>1E-3</v>
      </c>
      <c r="R1199">
        <f t="shared" si="36"/>
        <v>0</v>
      </c>
      <c r="S1199" s="3">
        <f t="shared" si="37"/>
        <v>0</v>
      </c>
    </row>
    <row r="1200" spans="1:19" x14ac:dyDescent="0.3">
      <c r="A1200" s="5">
        <v>45030</v>
      </c>
      <c r="B1200" t="s">
        <v>61</v>
      </c>
      <c r="H1200">
        <v>10853</v>
      </c>
      <c r="M1200">
        <v>355</v>
      </c>
      <c r="N1200">
        <v>447</v>
      </c>
      <c r="O1200">
        <v>1E-3</v>
      </c>
      <c r="R1200">
        <f t="shared" si="36"/>
        <v>0</v>
      </c>
      <c r="S1200" s="3">
        <f t="shared" si="37"/>
        <v>0</v>
      </c>
    </row>
    <row r="1201" spans="1:19" x14ac:dyDescent="0.3">
      <c r="A1201" s="5">
        <v>45031</v>
      </c>
      <c r="B1201" t="s">
        <v>61</v>
      </c>
      <c r="H1201">
        <v>11374</v>
      </c>
      <c r="M1201">
        <v>372</v>
      </c>
      <c r="N1201">
        <v>530</v>
      </c>
      <c r="O1201">
        <v>2E-3</v>
      </c>
      <c r="R1201">
        <f t="shared" si="36"/>
        <v>0</v>
      </c>
      <c r="S1201" s="3">
        <f t="shared" si="37"/>
        <v>0</v>
      </c>
    </row>
    <row r="1202" spans="1:19" x14ac:dyDescent="0.3">
      <c r="A1202" s="5">
        <v>45032</v>
      </c>
      <c r="B1202" t="s">
        <v>61</v>
      </c>
      <c r="H1202">
        <v>11894</v>
      </c>
      <c r="M1202">
        <v>389</v>
      </c>
      <c r="N1202">
        <v>614</v>
      </c>
      <c r="O1202">
        <v>2E-3</v>
      </c>
      <c r="R1202">
        <f t="shared" si="36"/>
        <v>0</v>
      </c>
      <c r="S1202" s="3">
        <f t="shared" si="37"/>
        <v>0</v>
      </c>
    </row>
    <row r="1203" spans="1:19" x14ac:dyDescent="0.3">
      <c r="A1203" s="5">
        <v>45033</v>
      </c>
      <c r="B1203" t="s">
        <v>61</v>
      </c>
      <c r="H1203">
        <v>12415</v>
      </c>
      <c r="M1203">
        <v>406</v>
      </c>
      <c r="N1203">
        <v>698</v>
      </c>
      <c r="O1203">
        <v>2E-3</v>
      </c>
      <c r="R1203">
        <f t="shared" si="36"/>
        <v>0</v>
      </c>
      <c r="S1203" s="3">
        <f t="shared" si="37"/>
        <v>0</v>
      </c>
    </row>
    <row r="1204" spans="1:19" x14ac:dyDescent="0.3">
      <c r="A1204" s="5">
        <v>45034</v>
      </c>
      <c r="B1204" t="s">
        <v>61</v>
      </c>
      <c r="H1204">
        <v>12936</v>
      </c>
      <c r="M1204">
        <v>423</v>
      </c>
      <c r="N1204">
        <v>782</v>
      </c>
      <c r="O1204">
        <v>3.0000000000000001E-3</v>
      </c>
      <c r="R1204">
        <f t="shared" si="36"/>
        <v>0</v>
      </c>
      <c r="S1204" s="3">
        <f t="shared" si="37"/>
        <v>0</v>
      </c>
    </row>
    <row r="1205" spans="1:19" x14ac:dyDescent="0.3">
      <c r="A1205" s="5">
        <v>45035</v>
      </c>
      <c r="B1205" t="s">
        <v>61</v>
      </c>
      <c r="H1205">
        <v>12936</v>
      </c>
      <c r="M1205">
        <v>423</v>
      </c>
      <c r="N1205">
        <v>782</v>
      </c>
      <c r="O1205">
        <v>3.0000000000000001E-3</v>
      </c>
      <c r="R1205">
        <f t="shared" si="36"/>
        <v>0</v>
      </c>
      <c r="S1205" s="3">
        <f t="shared" si="37"/>
        <v>0</v>
      </c>
    </row>
    <row r="1206" spans="1:19" x14ac:dyDescent="0.3">
      <c r="A1206" s="5">
        <v>45036</v>
      </c>
      <c r="B1206" t="s">
        <v>61</v>
      </c>
      <c r="H1206">
        <v>12936</v>
      </c>
      <c r="M1206">
        <v>423</v>
      </c>
      <c r="N1206">
        <v>782</v>
      </c>
      <c r="O1206">
        <v>3.0000000000000001E-3</v>
      </c>
      <c r="R1206">
        <f t="shared" si="36"/>
        <v>0</v>
      </c>
      <c r="S1206" s="3">
        <f t="shared" si="37"/>
        <v>0</v>
      </c>
    </row>
    <row r="1207" spans="1:19" x14ac:dyDescent="0.3">
      <c r="A1207" s="5">
        <v>45037</v>
      </c>
      <c r="B1207" t="s">
        <v>61</v>
      </c>
      <c r="H1207">
        <v>12936</v>
      </c>
      <c r="M1207">
        <v>423</v>
      </c>
      <c r="N1207">
        <v>782</v>
      </c>
      <c r="O1207">
        <v>3.0000000000000001E-3</v>
      </c>
      <c r="R1207">
        <f t="shared" si="36"/>
        <v>0</v>
      </c>
      <c r="S1207" s="3">
        <f t="shared" si="37"/>
        <v>0</v>
      </c>
    </row>
    <row r="1208" spans="1:19" x14ac:dyDescent="0.3">
      <c r="A1208" s="5">
        <v>45038</v>
      </c>
      <c r="B1208" t="s">
        <v>61</v>
      </c>
      <c r="H1208">
        <v>12936</v>
      </c>
      <c r="M1208">
        <v>423</v>
      </c>
      <c r="N1208">
        <v>782</v>
      </c>
      <c r="O1208">
        <v>3.0000000000000001E-3</v>
      </c>
      <c r="R1208">
        <f t="shared" si="36"/>
        <v>0</v>
      </c>
      <c r="S1208" s="3">
        <f t="shared" si="37"/>
        <v>0</v>
      </c>
    </row>
    <row r="1209" spans="1:19" x14ac:dyDescent="0.3">
      <c r="A1209" s="5">
        <v>45039</v>
      </c>
      <c r="B1209" t="s">
        <v>61</v>
      </c>
      <c r="H1209">
        <v>12936</v>
      </c>
      <c r="M1209">
        <v>423</v>
      </c>
      <c r="N1209">
        <v>782</v>
      </c>
      <c r="O1209">
        <v>3.0000000000000001E-3</v>
      </c>
      <c r="R1209">
        <f t="shared" si="36"/>
        <v>0</v>
      </c>
      <c r="S1209" s="3">
        <f t="shared" si="37"/>
        <v>0</v>
      </c>
    </row>
    <row r="1210" spans="1:19" x14ac:dyDescent="0.3">
      <c r="A1210" s="5">
        <v>45040</v>
      </c>
      <c r="B1210" t="s">
        <v>61</v>
      </c>
      <c r="H1210">
        <v>12936</v>
      </c>
      <c r="M1210">
        <v>423</v>
      </c>
      <c r="N1210">
        <v>782</v>
      </c>
      <c r="O1210">
        <v>3.0000000000000001E-3</v>
      </c>
      <c r="R1210">
        <f t="shared" si="36"/>
        <v>0</v>
      </c>
      <c r="S1210" s="3">
        <f t="shared" si="37"/>
        <v>0</v>
      </c>
    </row>
    <row r="1211" spans="1:19" x14ac:dyDescent="0.3">
      <c r="A1211" s="5">
        <v>45041</v>
      </c>
      <c r="B1211" t="s">
        <v>61</v>
      </c>
      <c r="H1211">
        <v>12936</v>
      </c>
      <c r="M1211">
        <v>423</v>
      </c>
      <c r="N1211">
        <v>782</v>
      </c>
      <c r="O1211">
        <v>3.0000000000000001E-3</v>
      </c>
      <c r="R1211">
        <f t="shared" si="36"/>
        <v>0</v>
      </c>
      <c r="S1211" s="3">
        <f t="shared" si="37"/>
        <v>0</v>
      </c>
    </row>
    <row r="1212" spans="1:19" x14ac:dyDescent="0.3">
      <c r="A1212" s="5">
        <v>45042</v>
      </c>
      <c r="B1212" t="s">
        <v>61</v>
      </c>
      <c r="H1212">
        <v>12936</v>
      </c>
      <c r="M1212">
        <v>423</v>
      </c>
      <c r="N1212">
        <v>782</v>
      </c>
      <c r="O1212">
        <v>3.0000000000000001E-3</v>
      </c>
      <c r="R1212">
        <f t="shared" si="36"/>
        <v>0</v>
      </c>
      <c r="S1212" s="3">
        <f t="shared" si="37"/>
        <v>0</v>
      </c>
    </row>
    <row r="1213" spans="1:19" x14ac:dyDescent="0.3">
      <c r="A1213" s="5">
        <v>45043</v>
      </c>
      <c r="B1213" t="s">
        <v>61</v>
      </c>
      <c r="H1213">
        <v>12936</v>
      </c>
      <c r="M1213">
        <v>423</v>
      </c>
      <c r="N1213">
        <v>782</v>
      </c>
      <c r="O1213">
        <v>3.0000000000000001E-3</v>
      </c>
      <c r="R1213">
        <f t="shared" si="36"/>
        <v>0</v>
      </c>
      <c r="S1213" s="3">
        <f t="shared" si="37"/>
        <v>0</v>
      </c>
    </row>
    <row r="1214" spans="1:19" x14ac:dyDescent="0.3">
      <c r="A1214" s="5">
        <v>45044</v>
      </c>
      <c r="B1214" t="s">
        <v>61</v>
      </c>
      <c r="H1214">
        <v>12936</v>
      </c>
      <c r="M1214">
        <v>423</v>
      </c>
      <c r="N1214">
        <v>782</v>
      </c>
      <c r="O1214">
        <v>3.0000000000000001E-3</v>
      </c>
      <c r="R1214">
        <f t="shared" si="36"/>
        <v>0</v>
      </c>
      <c r="S1214" s="3">
        <f t="shared" si="37"/>
        <v>0</v>
      </c>
    </row>
    <row r="1215" spans="1:19" x14ac:dyDescent="0.3">
      <c r="A1215" s="5">
        <v>45045</v>
      </c>
      <c r="B1215" t="s">
        <v>61</v>
      </c>
      <c r="H1215">
        <v>12936</v>
      </c>
      <c r="M1215">
        <v>423</v>
      </c>
      <c r="N1215">
        <v>782</v>
      </c>
      <c r="O1215">
        <v>3.0000000000000001E-3</v>
      </c>
      <c r="R1215">
        <f t="shared" si="36"/>
        <v>0</v>
      </c>
      <c r="S1215" s="3">
        <f t="shared" si="37"/>
        <v>0</v>
      </c>
    </row>
    <row r="1216" spans="1:19" x14ac:dyDescent="0.3">
      <c r="A1216" s="5">
        <v>45046</v>
      </c>
      <c r="B1216" t="s">
        <v>61</v>
      </c>
      <c r="H1216">
        <v>12936</v>
      </c>
      <c r="M1216">
        <v>423</v>
      </c>
      <c r="N1216">
        <v>782</v>
      </c>
      <c r="O1216">
        <v>3.0000000000000001E-3</v>
      </c>
      <c r="R1216">
        <f t="shared" si="36"/>
        <v>0</v>
      </c>
      <c r="S1216" s="3">
        <f t="shared" si="37"/>
        <v>0</v>
      </c>
    </row>
    <row r="1217" spans="1:19" x14ac:dyDescent="0.3">
      <c r="A1217" s="5">
        <v>45047</v>
      </c>
      <c r="B1217" t="s">
        <v>61</v>
      </c>
      <c r="H1217">
        <v>12936</v>
      </c>
      <c r="M1217">
        <v>423</v>
      </c>
      <c r="N1217">
        <v>782</v>
      </c>
      <c r="O1217">
        <v>3.0000000000000001E-3</v>
      </c>
      <c r="R1217">
        <f t="shared" si="36"/>
        <v>0</v>
      </c>
      <c r="S1217" s="3">
        <f t="shared" si="37"/>
        <v>0</v>
      </c>
    </row>
    <row r="1218" spans="1:19" x14ac:dyDescent="0.3">
      <c r="A1218" s="5">
        <v>45048</v>
      </c>
      <c r="B1218" t="s">
        <v>61</v>
      </c>
      <c r="C1218">
        <v>61748291</v>
      </c>
      <c r="D1218">
        <v>27790780</v>
      </c>
      <c r="E1218">
        <v>24352165</v>
      </c>
      <c r="F1218">
        <v>9605346</v>
      </c>
      <c r="H1218">
        <v>12936</v>
      </c>
      <c r="I1218">
        <v>202.14</v>
      </c>
      <c r="J1218">
        <v>90.98</v>
      </c>
      <c r="K1218">
        <v>79.72</v>
      </c>
      <c r="L1218">
        <v>31.44</v>
      </c>
      <c r="M1218">
        <v>423</v>
      </c>
      <c r="N1218">
        <v>782</v>
      </c>
      <c r="O1218">
        <v>3.0000000000000001E-3</v>
      </c>
      <c r="R1218">
        <f t="shared" si="36"/>
        <v>11.260000000000005</v>
      </c>
      <c r="S1218" s="3">
        <f t="shared" si="37"/>
        <v>0.85349999999999993</v>
      </c>
    </row>
    <row r="1219" spans="1:19" x14ac:dyDescent="0.3">
      <c r="A1219" s="5">
        <v>45049</v>
      </c>
      <c r="B1219" t="s">
        <v>61</v>
      </c>
      <c r="H1219">
        <v>12662</v>
      </c>
      <c r="M1219">
        <v>415</v>
      </c>
      <c r="N1219">
        <v>745</v>
      </c>
      <c r="O1219">
        <v>2E-3</v>
      </c>
      <c r="R1219">
        <f t="shared" si="36"/>
        <v>0</v>
      </c>
      <c r="S1219" s="3">
        <f t="shared" si="37"/>
        <v>0</v>
      </c>
    </row>
    <row r="1220" spans="1:19" x14ac:dyDescent="0.3">
      <c r="A1220" s="5">
        <v>45050</v>
      </c>
      <c r="B1220" t="s">
        <v>61</v>
      </c>
      <c r="H1220">
        <v>12388</v>
      </c>
      <c r="M1220">
        <v>406</v>
      </c>
      <c r="N1220">
        <v>709</v>
      </c>
      <c r="O1220">
        <v>2E-3</v>
      </c>
      <c r="R1220">
        <f t="shared" si="36"/>
        <v>0</v>
      </c>
      <c r="S1220" s="3">
        <f t="shared" si="37"/>
        <v>0</v>
      </c>
    </row>
    <row r="1221" spans="1:19" x14ac:dyDescent="0.3">
      <c r="A1221" s="5">
        <v>45051</v>
      </c>
      <c r="B1221" t="s">
        <v>61</v>
      </c>
      <c r="H1221">
        <v>12115</v>
      </c>
      <c r="M1221">
        <v>397</v>
      </c>
      <c r="N1221">
        <v>672</v>
      </c>
      <c r="O1221">
        <v>2E-3</v>
      </c>
      <c r="R1221">
        <f t="shared" si="36"/>
        <v>0</v>
      </c>
      <c r="S1221" s="3">
        <f t="shared" si="37"/>
        <v>0</v>
      </c>
    </row>
    <row r="1222" spans="1:19" x14ac:dyDescent="0.3">
      <c r="A1222" s="5">
        <v>45052</v>
      </c>
      <c r="B1222" t="s">
        <v>61</v>
      </c>
      <c r="H1222">
        <v>11841</v>
      </c>
      <c r="M1222">
        <v>388</v>
      </c>
      <c r="N1222">
        <v>636</v>
      </c>
      <c r="O1222">
        <v>2E-3</v>
      </c>
      <c r="R1222">
        <f t="shared" ref="R1222:R1285" si="38">J1222-K1222</f>
        <v>0</v>
      </c>
      <c r="S1222" s="3">
        <f t="shared" ref="S1222:S1285" si="39">MIN(1, (0.5*MAX(R1222,0) + 1*K1222)/100 )</f>
        <v>0</v>
      </c>
    </row>
    <row r="1223" spans="1:19" x14ac:dyDescent="0.3">
      <c r="A1223" s="5">
        <v>45053</v>
      </c>
      <c r="B1223" t="s">
        <v>61</v>
      </c>
      <c r="H1223">
        <v>11567</v>
      </c>
      <c r="M1223">
        <v>379</v>
      </c>
      <c r="N1223">
        <v>599</v>
      </c>
      <c r="O1223">
        <v>2E-3</v>
      </c>
      <c r="R1223">
        <f t="shared" si="38"/>
        <v>0</v>
      </c>
      <c r="S1223" s="3">
        <f t="shared" si="39"/>
        <v>0</v>
      </c>
    </row>
    <row r="1224" spans="1:19" x14ac:dyDescent="0.3">
      <c r="A1224" s="5">
        <v>45054</v>
      </c>
      <c r="B1224" t="s">
        <v>61</v>
      </c>
      <c r="H1224">
        <v>11294</v>
      </c>
      <c r="M1224">
        <v>370</v>
      </c>
      <c r="N1224">
        <v>563</v>
      </c>
      <c r="O1224">
        <v>2E-3</v>
      </c>
      <c r="R1224">
        <f t="shared" si="38"/>
        <v>0</v>
      </c>
      <c r="S1224" s="3">
        <f t="shared" si="39"/>
        <v>0</v>
      </c>
    </row>
    <row r="1225" spans="1:19" x14ac:dyDescent="0.3">
      <c r="A1225" s="5">
        <v>45055</v>
      </c>
      <c r="B1225" t="s">
        <v>61</v>
      </c>
      <c r="C1225">
        <v>61825430</v>
      </c>
      <c r="D1225">
        <v>27794462</v>
      </c>
      <c r="E1225">
        <v>24357523</v>
      </c>
      <c r="F1225">
        <v>9673445</v>
      </c>
      <c r="H1225">
        <v>11020</v>
      </c>
      <c r="I1225">
        <v>202.39</v>
      </c>
      <c r="J1225">
        <v>90.99</v>
      </c>
      <c r="K1225">
        <v>79.739999999999995</v>
      </c>
      <c r="L1225">
        <v>31.67</v>
      </c>
      <c r="M1225">
        <v>361</v>
      </c>
      <c r="N1225">
        <v>526</v>
      </c>
      <c r="O1225">
        <v>2E-3</v>
      </c>
      <c r="R1225">
        <f t="shared" si="38"/>
        <v>11.25</v>
      </c>
      <c r="S1225" s="3">
        <f t="shared" si="39"/>
        <v>0.85364999999999991</v>
      </c>
    </row>
    <row r="1226" spans="1:19" x14ac:dyDescent="0.3">
      <c r="A1226" s="5">
        <v>45056</v>
      </c>
      <c r="B1226" t="s">
        <v>61</v>
      </c>
      <c r="H1226">
        <v>10388</v>
      </c>
      <c r="M1226">
        <v>340</v>
      </c>
      <c r="N1226">
        <v>477</v>
      </c>
      <c r="O1226">
        <v>2E-3</v>
      </c>
      <c r="R1226">
        <f t="shared" si="38"/>
        <v>0</v>
      </c>
      <c r="S1226" s="3">
        <f t="shared" si="39"/>
        <v>0</v>
      </c>
    </row>
    <row r="1227" spans="1:19" x14ac:dyDescent="0.3">
      <c r="A1227" s="5">
        <v>45057</v>
      </c>
      <c r="B1227" t="s">
        <v>61</v>
      </c>
      <c r="H1227">
        <v>9755</v>
      </c>
      <c r="M1227">
        <v>319</v>
      </c>
      <c r="N1227">
        <v>427</v>
      </c>
      <c r="O1227">
        <v>1E-3</v>
      </c>
      <c r="R1227">
        <f t="shared" si="38"/>
        <v>0</v>
      </c>
      <c r="S1227" s="3">
        <f t="shared" si="39"/>
        <v>0</v>
      </c>
    </row>
    <row r="1228" spans="1:19" x14ac:dyDescent="0.3">
      <c r="A1228" s="5">
        <v>45058</v>
      </c>
      <c r="B1228" t="s">
        <v>61</v>
      </c>
      <c r="H1228">
        <v>9123</v>
      </c>
      <c r="M1228">
        <v>299</v>
      </c>
      <c r="N1228">
        <v>378</v>
      </c>
      <c r="O1228">
        <v>1E-3</v>
      </c>
      <c r="R1228">
        <f t="shared" si="38"/>
        <v>0</v>
      </c>
      <c r="S1228" s="3">
        <f t="shared" si="39"/>
        <v>0</v>
      </c>
    </row>
    <row r="1229" spans="1:19" x14ac:dyDescent="0.3">
      <c r="A1229" s="5">
        <v>45059</v>
      </c>
      <c r="B1229" t="s">
        <v>61</v>
      </c>
      <c r="H1229">
        <v>8491</v>
      </c>
      <c r="M1229">
        <v>278</v>
      </c>
      <c r="N1229">
        <v>329</v>
      </c>
      <c r="O1229">
        <v>1E-3</v>
      </c>
      <c r="R1229">
        <f t="shared" si="38"/>
        <v>0</v>
      </c>
      <c r="S1229" s="3">
        <f t="shared" si="39"/>
        <v>0</v>
      </c>
    </row>
    <row r="1230" spans="1:19" x14ac:dyDescent="0.3">
      <c r="A1230" s="5">
        <v>45060</v>
      </c>
      <c r="B1230" t="s">
        <v>61</v>
      </c>
      <c r="H1230">
        <v>7859</v>
      </c>
      <c r="M1230">
        <v>257</v>
      </c>
      <c r="N1230">
        <v>279</v>
      </c>
      <c r="O1230">
        <v>1E-3</v>
      </c>
      <c r="R1230">
        <f t="shared" si="38"/>
        <v>0</v>
      </c>
      <c r="S1230" s="3">
        <f t="shared" si="39"/>
        <v>0</v>
      </c>
    </row>
    <row r="1231" spans="1:19" x14ac:dyDescent="0.3">
      <c r="A1231" s="5">
        <v>45061</v>
      </c>
      <c r="B1231" t="s">
        <v>61</v>
      </c>
      <c r="H1231">
        <v>7226</v>
      </c>
      <c r="M1231">
        <v>237</v>
      </c>
      <c r="N1231">
        <v>230</v>
      </c>
      <c r="O1231">
        <v>1E-3</v>
      </c>
      <c r="R1231">
        <f t="shared" si="38"/>
        <v>0</v>
      </c>
      <c r="S1231" s="3">
        <f t="shared" si="39"/>
        <v>0</v>
      </c>
    </row>
    <row r="1232" spans="1:19" x14ac:dyDescent="0.3">
      <c r="A1232" s="5">
        <v>45062</v>
      </c>
      <c r="B1232" t="s">
        <v>61</v>
      </c>
      <c r="C1232">
        <v>61871588</v>
      </c>
      <c r="D1232">
        <v>27795727</v>
      </c>
      <c r="E1232">
        <v>24365112</v>
      </c>
      <c r="F1232">
        <v>9710749</v>
      </c>
      <c r="H1232">
        <v>6594</v>
      </c>
      <c r="I1232">
        <v>202.54</v>
      </c>
      <c r="J1232">
        <v>90.99</v>
      </c>
      <c r="K1232">
        <v>79.760000000000005</v>
      </c>
      <c r="L1232">
        <v>31.79</v>
      </c>
      <c r="M1232">
        <v>216</v>
      </c>
      <c r="N1232">
        <v>181</v>
      </c>
      <c r="O1232">
        <v>1E-3</v>
      </c>
      <c r="R1232">
        <f t="shared" si="38"/>
        <v>11.22999999999999</v>
      </c>
      <c r="S1232" s="3">
        <f t="shared" si="39"/>
        <v>0.85375000000000001</v>
      </c>
    </row>
    <row r="1233" spans="1:19" x14ac:dyDescent="0.3">
      <c r="A1233" s="5">
        <v>45063</v>
      </c>
      <c r="B1233" t="s">
        <v>61</v>
      </c>
      <c r="H1233">
        <v>6924</v>
      </c>
      <c r="M1233">
        <v>227</v>
      </c>
      <c r="N1233">
        <v>196</v>
      </c>
      <c r="O1233">
        <v>1E-3</v>
      </c>
      <c r="R1233">
        <f t="shared" si="38"/>
        <v>0</v>
      </c>
      <c r="S1233" s="3">
        <f t="shared" si="39"/>
        <v>0</v>
      </c>
    </row>
    <row r="1234" spans="1:19" x14ac:dyDescent="0.3">
      <c r="A1234" s="5">
        <v>45064</v>
      </c>
      <c r="B1234" t="s">
        <v>61</v>
      </c>
      <c r="H1234">
        <v>7253</v>
      </c>
      <c r="M1234">
        <v>237</v>
      </c>
      <c r="N1234">
        <v>212</v>
      </c>
      <c r="O1234">
        <v>1E-3</v>
      </c>
      <c r="R1234">
        <f t="shared" si="38"/>
        <v>0</v>
      </c>
      <c r="S1234" s="3">
        <f t="shared" si="39"/>
        <v>0</v>
      </c>
    </row>
    <row r="1235" spans="1:19" x14ac:dyDescent="0.3">
      <c r="A1235" s="5">
        <v>45065</v>
      </c>
      <c r="B1235" t="s">
        <v>61</v>
      </c>
      <c r="H1235">
        <v>7583</v>
      </c>
      <c r="M1235">
        <v>248</v>
      </c>
      <c r="N1235">
        <v>227</v>
      </c>
      <c r="O1235">
        <v>1E-3</v>
      </c>
      <c r="R1235">
        <f t="shared" si="38"/>
        <v>0</v>
      </c>
      <c r="S1235" s="3">
        <f t="shared" si="39"/>
        <v>0</v>
      </c>
    </row>
    <row r="1236" spans="1:19" x14ac:dyDescent="0.3">
      <c r="A1236" s="5">
        <v>45066</v>
      </c>
      <c r="B1236" t="s">
        <v>61</v>
      </c>
      <c r="H1236">
        <v>7913</v>
      </c>
      <c r="M1236">
        <v>259</v>
      </c>
      <c r="N1236">
        <v>243</v>
      </c>
      <c r="O1236">
        <v>1E-3</v>
      </c>
      <c r="R1236">
        <f t="shared" si="38"/>
        <v>0</v>
      </c>
      <c r="S1236" s="3">
        <f t="shared" si="39"/>
        <v>0</v>
      </c>
    </row>
    <row r="1237" spans="1:19" x14ac:dyDescent="0.3">
      <c r="A1237" s="5">
        <v>45067</v>
      </c>
      <c r="B1237" t="s">
        <v>61</v>
      </c>
      <c r="H1237">
        <v>8243</v>
      </c>
      <c r="M1237">
        <v>270</v>
      </c>
      <c r="N1237">
        <v>258</v>
      </c>
      <c r="O1237">
        <v>1E-3</v>
      </c>
      <c r="R1237">
        <f t="shared" si="38"/>
        <v>0</v>
      </c>
      <c r="S1237" s="3">
        <f t="shared" si="39"/>
        <v>0</v>
      </c>
    </row>
    <row r="1238" spans="1:19" x14ac:dyDescent="0.3">
      <c r="A1238" s="5">
        <v>45068</v>
      </c>
      <c r="B1238" t="s">
        <v>61</v>
      </c>
      <c r="H1238">
        <v>8572</v>
      </c>
      <c r="M1238">
        <v>281</v>
      </c>
      <c r="N1238">
        <v>274</v>
      </c>
      <c r="O1238">
        <v>1E-3</v>
      </c>
      <c r="R1238">
        <f t="shared" si="38"/>
        <v>0</v>
      </c>
      <c r="S1238" s="3">
        <f t="shared" si="39"/>
        <v>0</v>
      </c>
    </row>
    <row r="1239" spans="1:19" x14ac:dyDescent="0.3">
      <c r="A1239" s="5">
        <v>45069</v>
      </c>
      <c r="B1239" t="s">
        <v>61</v>
      </c>
      <c r="C1239">
        <v>61933902</v>
      </c>
      <c r="D1239">
        <v>27797754</v>
      </c>
      <c r="E1239">
        <v>24369133</v>
      </c>
      <c r="F1239">
        <v>9767015</v>
      </c>
      <c r="H1239">
        <v>8902</v>
      </c>
      <c r="I1239">
        <v>202.75</v>
      </c>
      <c r="J1239">
        <v>91</v>
      </c>
      <c r="K1239">
        <v>79.77</v>
      </c>
      <c r="L1239">
        <v>31.97</v>
      </c>
      <c r="M1239">
        <v>291</v>
      </c>
      <c r="N1239">
        <v>290</v>
      </c>
      <c r="O1239">
        <v>1E-3</v>
      </c>
      <c r="R1239">
        <f t="shared" si="38"/>
        <v>11.230000000000004</v>
      </c>
      <c r="S1239" s="3">
        <f t="shared" si="39"/>
        <v>0.85384999999999989</v>
      </c>
    </row>
    <row r="1240" spans="1:19" x14ac:dyDescent="0.3">
      <c r="A1240" s="5">
        <v>45070</v>
      </c>
      <c r="B1240" t="s">
        <v>61</v>
      </c>
      <c r="H1240">
        <v>8760</v>
      </c>
      <c r="M1240">
        <v>287</v>
      </c>
      <c r="N1240">
        <v>300</v>
      </c>
      <c r="O1240">
        <v>1E-3</v>
      </c>
      <c r="R1240">
        <f t="shared" si="38"/>
        <v>0</v>
      </c>
      <c r="S1240" s="3">
        <f t="shared" si="39"/>
        <v>0</v>
      </c>
    </row>
    <row r="1241" spans="1:19" x14ac:dyDescent="0.3">
      <c r="A1241" s="5">
        <v>45071</v>
      </c>
      <c r="B1241" t="s">
        <v>61</v>
      </c>
      <c r="H1241">
        <v>8618</v>
      </c>
      <c r="M1241">
        <v>282</v>
      </c>
      <c r="N1241">
        <v>311</v>
      </c>
      <c r="O1241">
        <v>1E-3</v>
      </c>
      <c r="R1241">
        <f t="shared" si="38"/>
        <v>0</v>
      </c>
      <c r="S1241" s="3">
        <f t="shared" si="39"/>
        <v>0</v>
      </c>
    </row>
    <row r="1242" spans="1:19" x14ac:dyDescent="0.3">
      <c r="A1242" s="5">
        <v>45072</v>
      </c>
      <c r="B1242" t="s">
        <v>61</v>
      </c>
      <c r="H1242">
        <v>8476</v>
      </c>
      <c r="M1242">
        <v>277</v>
      </c>
      <c r="N1242">
        <v>322</v>
      </c>
      <c r="O1242">
        <v>1E-3</v>
      </c>
      <c r="R1242">
        <f t="shared" si="38"/>
        <v>0</v>
      </c>
      <c r="S1242" s="3">
        <f t="shared" si="39"/>
        <v>0</v>
      </c>
    </row>
    <row r="1243" spans="1:19" x14ac:dyDescent="0.3">
      <c r="A1243" s="5">
        <v>45073</v>
      </c>
      <c r="B1243" t="s">
        <v>61</v>
      </c>
      <c r="H1243">
        <v>8334</v>
      </c>
      <c r="M1243">
        <v>273</v>
      </c>
      <c r="N1243">
        <v>333</v>
      </c>
      <c r="O1243">
        <v>1E-3</v>
      </c>
      <c r="R1243">
        <f t="shared" si="38"/>
        <v>0</v>
      </c>
      <c r="S1243" s="3">
        <f t="shared" si="39"/>
        <v>0</v>
      </c>
    </row>
    <row r="1244" spans="1:19" x14ac:dyDescent="0.3">
      <c r="A1244" s="5">
        <v>45074</v>
      </c>
      <c r="B1244" t="s">
        <v>61</v>
      </c>
      <c r="H1244">
        <v>8192</v>
      </c>
      <c r="M1244">
        <v>268</v>
      </c>
      <c r="N1244">
        <v>344</v>
      </c>
      <c r="O1244">
        <v>1E-3</v>
      </c>
      <c r="R1244">
        <f t="shared" si="38"/>
        <v>0</v>
      </c>
      <c r="S1244" s="3">
        <f t="shared" si="39"/>
        <v>0</v>
      </c>
    </row>
    <row r="1245" spans="1:19" x14ac:dyDescent="0.3">
      <c r="A1245" s="5">
        <v>45075</v>
      </c>
      <c r="B1245" t="s">
        <v>61</v>
      </c>
      <c r="H1245">
        <v>8050</v>
      </c>
      <c r="M1245">
        <v>264</v>
      </c>
      <c r="N1245">
        <v>355</v>
      </c>
      <c r="O1245">
        <v>1E-3</v>
      </c>
      <c r="R1245">
        <f t="shared" si="38"/>
        <v>0</v>
      </c>
      <c r="S1245" s="3">
        <f t="shared" si="39"/>
        <v>0</v>
      </c>
    </row>
    <row r="1246" spans="1:19" x14ac:dyDescent="0.3">
      <c r="A1246" s="5">
        <v>45076</v>
      </c>
      <c r="B1246" t="s">
        <v>61</v>
      </c>
      <c r="C1246">
        <v>61989256</v>
      </c>
      <c r="D1246">
        <v>27800314</v>
      </c>
      <c r="E1246">
        <v>24377743</v>
      </c>
      <c r="F1246">
        <v>9811199</v>
      </c>
      <c r="H1246">
        <v>7908</v>
      </c>
      <c r="I1246">
        <v>202.93</v>
      </c>
      <c r="J1246">
        <v>91.01</v>
      </c>
      <c r="K1246">
        <v>79.8</v>
      </c>
      <c r="L1246">
        <v>32.119999999999997</v>
      </c>
      <c r="M1246">
        <v>259</v>
      </c>
      <c r="N1246">
        <v>366</v>
      </c>
      <c r="O1246">
        <v>1E-3</v>
      </c>
      <c r="R1246">
        <f t="shared" si="38"/>
        <v>11.210000000000008</v>
      </c>
      <c r="S1246" s="3">
        <f t="shared" si="39"/>
        <v>0.85404999999999998</v>
      </c>
    </row>
    <row r="1247" spans="1:19" x14ac:dyDescent="0.3">
      <c r="A1247" s="5">
        <v>45077</v>
      </c>
      <c r="B1247" t="s">
        <v>61</v>
      </c>
      <c r="H1247">
        <v>7663</v>
      </c>
      <c r="M1247">
        <v>251</v>
      </c>
      <c r="N1247">
        <v>337</v>
      </c>
      <c r="O1247">
        <v>1E-3</v>
      </c>
      <c r="R1247">
        <f t="shared" si="38"/>
        <v>0</v>
      </c>
      <c r="S1247" s="3">
        <f t="shared" si="39"/>
        <v>0</v>
      </c>
    </row>
    <row r="1248" spans="1:19" x14ac:dyDescent="0.3">
      <c r="A1248" s="5">
        <v>45078</v>
      </c>
      <c r="B1248" t="s">
        <v>61</v>
      </c>
      <c r="H1248">
        <v>7417</v>
      </c>
      <c r="M1248">
        <v>243</v>
      </c>
      <c r="N1248">
        <v>308</v>
      </c>
      <c r="O1248">
        <v>1E-3</v>
      </c>
      <c r="R1248">
        <f t="shared" si="38"/>
        <v>0</v>
      </c>
      <c r="S1248" s="3">
        <f t="shared" si="39"/>
        <v>0</v>
      </c>
    </row>
    <row r="1249" spans="1:19" x14ac:dyDescent="0.3">
      <c r="A1249" s="5">
        <v>45079</v>
      </c>
      <c r="B1249" t="s">
        <v>61</v>
      </c>
      <c r="H1249">
        <v>7172</v>
      </c>
      <c r="M1249">
        <v>235</v>
      </c>
      <c r="N1249">
        <v>279</v>
      </c>
      <c r="O1249">
        <v>1E-3</v>
      </c>
      <c r="R1249">
        <f t="shared" si="38"/>
        <v>0</v>
      </c>
      <c r="S1249" s="3">
        <f t="shared" si="39"/>
        <v>0</v>
      </c>
    </row>
    <row r="1250" spans="1:19" x14ac:dyDescent="0.3">
      <c r="A1250" s="5">
        <v>45080</v>
      </c>
      <c r="B1250" t="s">
        <v>61</v>
      </c>
      <c r="H1250">
        <v>6927</v>
      </c>
      <c r="M1250">
        <v>227</v>
      </c>
      <c r="N1250">
        <v>250</v>
      </c>
      <c r="O1250">
        <v>1E-3</v>
      </c>
      <c r="R1250">
        <f t="shared" si="38"/>
        <v>0</v>
      </c>
      <c r="S1250" s="3">
        <f t="shared" si="39"/>
        <v>0</v>
      </c>
    </row>
    <row r="1251" spans="1:19" x14ac:dyDescent="0.3">
      <c r="A1251" s="5">
        <v>45081</v>
      </c>
      <c r="B1251" t="s">
        <v>61</v>
      </c>
      <c r="H1251">
        <v>6682</v>
      </c>
      <c r="M1251">
        <v>219</v>
      </c>
      <c r="N1251">
        <v>221</v>
      </c>
      <c r="O1251">
        <v>1E-3</v>
      </c>
      <c r="R1251">
        <f t="shared" si="38"/>
        <v>0</v>
      </c>
      <c r="S1251" s="3">
        <f t="shared" si="39"/>
        <v>0</v>
      </c>
    </row>
    <row r="1252" spans="1:19" x14ac:dyDescent="0.3">
      <c r="A1252" s="5">
        <v>45082</v>
      </c>
      <c r="B1252" t="s">
        <v>61</v>
      </c>
      <c r="H1252">
        <v>6436</v>
      </c>
      <c r="M1252">
        <v>211</v>
      </c>
      <c r="N1252">
        <v>192</v>
      </c>
      <c r="O1252">
        <v>1E-3</v>
      </c>
      <c r="R1252">
        <f t="shared" si="38"/>
        <v>0</v>
      </c>
      <c r="S1252" s="3">
        <f t="shared" si="39"/>
        <v>0</v>
      </c>
    </row>
    <row r="1253" spans="1:19" x14ac:dyDescent="0.3">
      <c r="A1253" s="5">
        <v>45083</v>
      </c>
      <c r="B1253" t="s">
        <v>61</v>
      </c>
      <c r="C1253">
        <v>62032595</v>
      </c>
      <c r="D1253">
        <v>27801458</v>
      </c>
      <c r="E1253">
        <v>24379336</v>
      </c>
      <c r="F1253">
        <v>9851801</v>
      </c>
      <c r="H1253">
        <v>6191</v>
      </c>
      <c r="I1253">
        <v>203.07</v>
      </c>
      <c r="J1253">
        <v>91.01</v>
      </c>
      <c r="K1253">
        <v>79.81</v>
      </c>
      <c r="L1253">
        <v>32.25</v>
      </c>
      <c r="M1253">
        <v>203</v>
      </c>
      <c r="N1253">
        <v>163</v>
      </c>
      <c r="O1253">
        <v>1E-3</v>
      </c>
      <c r="R1253">
        <f t="shared" si="38"/>
        <v>11.200000000000003</v>
      </c>
      <c r="S1253" s="3">
        <f t="shared" si="39"/>
        <v>0.85409999999999997</v>
      </c>
    </row>
    <row r="1254" spans="1:19" x14ac:dyDescent="0.3">
      <c r="A1254" s="5">
        <v>45084</v>
      </c>
      <c r="B1254" t="s">
        <v>61</v>
      </c>
      <c r="H1254">
        <v>6054</v>
      </c>
      <c r="M1254">
        <v>198</v>
      </c>
      <c r="N1254">
        <v>194</v>
      </c>
      <c r="O1254">
        <v>1E-3</v>
      </c>
      <c r="R1254">
        <f t="shared" si="38"/>
        <v>0</v>
      </c>
      <c r="S1254" s="3">
        <f t="shared" si="39"/>
        <v>0</v>
      </c>
    </row>
    <row r="1255" spans="1:19" x14ac:dyDescent="0.3">
      <c r="A1255" s="5">
        <v>45085</v>
      </c>
      <c r="B1255" t="s">
        <v>61</v>
      </c>
      <c r="H1255">
        <v>5917</v>
      </c>
      <c r="M1255">
        <v>194</v>
      </c>
      <c r="N1255">
        <v>224</v>
      </c>
      <c r="O1255">
        <v>1E-3</v>
      </c>
      <c r="R1255">
        <f t="shared" si="38"/>
        <v>0</v>
      </c>
      <c r="S1255" s="3">
        <f t="shared" si="39"/>
        <v>0</v>
      </c>
    </row>
    <row r="1256" spans="1:19" x14ac:dyDescent="0.3">
      <c r="A1256" s="5">
        <v>45086</v>
      </c>
      <c r="B1256" t="s">
        <v>61</v>
      </c>
      <c r="H1256">
        <v>5780</v>
      </c>
      <c r="M1256">
        <v>189</v>
      </c>
      <c r="N1256">
        <v>254</v>
      </c>
      <c r="O1256">
        <v>1E-3</v>
      </c>
      <c r="R1256">
        <f t="shared" si="38"/>
        <v>0</v>
      </c>
      <c r="S1256" s="3">
        <f t="shared" si="39"/>
        <v>0</v>
      </c>
    </row>
    <row r="1257" spans="1:19" x14ac:dyDescent="0.3">
      <c r="A1257" s="5">
        <v>45087</v>
      </c>
      <c r="B1257" t="s">
        <v>61</v>
      </c>
      <c r="H1257">
        <v>5642</v>
      </c>
      <c r="M1257">
        <v>185</v>
      </c>
      <c r="N1257">
        <v>284</v>
      </c>
      <c r="O1257">
        <v>1E-3</v>
      </c>
      <c r="R1257">
        <f t="shared" si="38"/>
        <v>0</v>
      </c>
      <c r="S1257" s="3">
        <f t="shared" si="39"/>
        <v>0</v>
      </c>
    </row>
    <row r="1258" spans="1:19" x14ac:dyDescent="0.3">
      <c r="A1258" s="5">
        <v>45088</v>
      </c>
      <c r="B1258" t="s">
        <v>61</v>
      </c>
      <c r="H1258">
        <v>5505</v>
      </c>
      <c r="M1258">
        <v>180</v>
      </c>
      <c r="N1258">
        <v>315</v>
      </c>
      <c r="O1258">
        <v>1E-3</v>
      </c>
      <c r="R1258">
        <f t="shared" si="38"/>
        <v>0</v>
      </c>
      <c r="S1258" s="3">
        <f t="shared" si="39"/>
        <v>0</v>
      </c>
    </row>
    <row r="1259" spans="1:19" x14ac:dyDescent="0.3">
      <c r="A1259" s="5">
        <v>45089</v>
      </c>
      <c r="B1259" t="s">
        <v>61</v>
      </c>
      <c r="H1259">
        <v>5368</v>
      </c>
      <c r="M1259">
        <v>176</v>
      </c>
      <c r="N1259">
        <v>345</v>
      </c>
      <c r="O1259">
        <v>1E-3</v>
      </c>
      <c r="R1259">
        <f t="shared" si="38"/>
        <v>0</v>
      </c>
      <c r="S1259" s="3">
        <f t="shared" si="39"/>
        <v>0</v>
      </c>
    </row>
    <row r="1260" spans="1:19" x14ac:dyDescent="0.3">
      <c r="A1260" s="5">
        <v>45090</v>
      </c>
      <c r="B1260" t="s">
        <v>61</v>
      </c>
      <c r="C1260">
        <v>62069210</v>
      </c>
      <c r="D1260">
        <v>27804084</v>
      </c>
      <c r="E1260">
        <v>24387074</v>
      </c>
      <c r="F1260">
        <v>9878052</v>
      </c>
      <c r="H1260">
        <v>5231</v>
      </c>
      <c r="I1260">
        <v>203.19</v>
      </c>
      <c r="J1260">
        <v>91.02</v>
      </c>
      <c r="K1260">
        <v>79.83</v>
      </c>
      <c r="L1260">
        <v>32.340000000000003</v>
      </c>
      <c r="M1260">
        <v>171</v>
      </c>
      <c r="N1260">
        <v>375</v>
      </c>
      <c r="O1260">
        <v>1E-3</v>
      </c>
      <c r="R1260">
        <f t="shared" si="38"/>
        <v>11.189999999999998</v>
      </c>
      <c r="S1260" s="3">
        <f t="shared" si="39"/>
        <v>0.85424999999999995</v>
      </c>
    </row>
    <row r="1261" spans="1:19" x14ac:dyDescent="0.3">
      <c r="A1261" s="5">
        <v>45091</v>
      </c>
      <c r="B1261" t="s">
        <v>61</v>
      </c>
      <c r="H1261">
        <v>4845</v>
      </c>
      <c r="M1261">
        <v>159</v>
      </c>
      <c r="N1261">
        <v>339</v>
      </c>
      <c r="O1261">
        <v>1E-3</v>
      </c>
      <c r="R1261">
        <f t="shared" si="38"/>
        <v>0</v>
      </c>
      <c r="S1261" s="3">
        <f t="shared" si="39"/>
        <v>0</v>
      </c>
    </row>
    <row r="1262" spans="1:19" x14ac:dyDescent="0.3">
      <c r="A1262" s="5">
        <v>45092</v>
      </c>
      <c r="B1262" t="s">
        <v>61</v>
      </c>
      <c r="H1262">
        <v>4460</v>
      </c>
      <c r="M1262">
        <v>146</v>
      </c>
      <c r="N1262">
        <v>303</v>
      </c>
      <c r="O1262">
        <v>1E-3</v>
      </c>
      <c r="R1262">
        <f t="shared" si="38"/>
        <v>0</v>
      </c>
      <c r="S1262" s="3">
        <f t="shared" si="39"/>
        <v>0</v>
      </c>
    </row>
    <row r="1263" spans="1:19" x14ac:dyDescent="0.3">
      <c r="A1263" s="5">
        <v>45093</v>
      </c>
      <c r="B1263" t="s">
        <v>61</v>
      </c>
      <c r="H1263">
        <v>4075</v>
      </c>
      <c r="M1263">
        <v>133</v>
      </c>
      <c r="N1263">
        <v>266</v>
      </c>
      <c r="O1263">
        <v>1E-3</v>
      </c>
      <c r="R1263">
        <f t="shared" si="38"/>
        <v>0</v>
      </c>
      <c r="S1263" s="3">
        <f t="shared" si="39"/>
        <v>0</v>
      </c>
    </row>
    <row r="1264" spans="1:19" x14ac:dyDescent="0.3">
      <c r="A1264" s="5">
        <v>45094</v>
      </c>
      <c r="B1264" t="s">
        <v>61</v>
      </c>
      <c r="H1264">
        <v>3690</v>
      </c>
      <c r="M1264">
        <v>121</v>
      </c>
      <c r="N1264">
        <v>230</v>
      </c>
      <c r="O1264">
        <v>1E-3</v>
      </c>
      <c r="R1264">
        <f t="shared" si="38"/>
        <v>0</v>
      </c>
      <c r="S1264" s="3">
        <f t="shared" si="39"/>
        <v>0</v>
      </c>
    </row>
    <row r="1265" spans="1:19" x14ac:dyDescent="0.3">
      <c r="A1265" s="5">
        <v>45095</v>
      </c>
      <c r="B1265" t="s">
        <v>61</v>
      </c>
      <c r="H1265">
        <v>3304</v>
      </c>
      <c r="M1265">
        <v>108</v>
      </c>
      <c r="N1265">
        <v>194</v>
      </c>
      <c r="O1265">
        <v>1E-3</v>
      </c>
      <c r="R1265">
        <f t="shared" si="38"/>
        <v>0</v>
      </c>
      <c r="S1265" s="3">
        <f t="shared" si="39"/>
        <v>0</v>
      </c>
    </row>
    <row r="1266" spans="1:19" x14ac:dyDescent="0.3">
      <c r="A1266" s="5">
        <v>45096</v>
      </c>
      <c r="B1266" t="s">
        <v>61</v>
      </c>
      <c r="H1266">
        <v>2919</v>
      </c>
      <c r="M1266">
        <v>96</v>
      </c>
      <c r="N1266">
        <v>158</v>
      </c>
      <c r="O1266">
        <v>1E-3</v>
      </c>
      <c r="R1266">
        <f t="shared" si="38"/>
        <v>0</v>
      </c>
      <c r="S1266" s="3">
        <f t="shared" si="39"/>
        <v>0</v>
      </c>
    </row>
    <row r="1267" spans="1:19" x14ac:dyDescent="0.3">
      <c r="A1267" s="5">
        <v>45097</v>
      </c>
      <c r="B1267" t="s">
        <v>61</v>
      </c>
      <c r="C1267">
        <v>62086946</v>
      </c>
      <c r="D1267">
        <v>27804935</v>
      </c>
      <c r="E1267">
        <v>24389063</v>
      </c>
      <c r="F1267">
        <v>9892948</v>
      </c>
      <c r="H1267">
        <v>2534</v>
      </c>
      <c r="I1267">
        <v>203.25</v>
      </c>
      <c r="J1267">
        <v>91.02</v>
      </c>
      <c r="K1267">
        <v>79.84</v>
      </c>
      <c r="L1267">
        <v>32.39</v>
      </c>
      <c r="M1267">
        <v>83</v>
      </c>
      <c r="N1267">
        <v>122</v>
      </c>
      <c r="O1267">
        <v>0</v>
      </c>
      <c r="R1267">
        <f t="shared" si="38"/>
        <v>11.179999999999993</v>
      </c>
      <c r="S1267" s="3">
        <f t="shared" si="39"/>
        <v>0.85430000000000006</v>
      </c>
    </row>
    <row r="1268" spans="1:19" x14ac:dyDescent="0.3">
      <c r="A1268" s="5">
        <v>45098</v>
      </c>
      <c r="B1268" t="s">
        <v>61</v>
      </c>
      <c r="H1268">
        <v>2798</v>
      </c>
      <c r="M1268">
        <v>92</v>
      </c>
      <c r="N1268">
        <v>197</v>
      </c>
      <c r="O1268">
        <v>1E-3</v>
      </c>
      <c r="R1268">
        <f t="shared" si="38"/>
        <v>0</v>
      </c>
      <c r="S1268" s="3">
        <f t="shared" si="39"/>
        <v>0</v>
      </c>
    </row>
    <row r="1269" spans="1:19" x14ac:dyDescent="0.3">
      <c r="A1269" s="5">
        <v>45099</v>
      </c>
      <c r="B1269" t="s">
        <v>61</v>
      </c>
      <c r="H1269">
        <v>3062</v>
      </c>
      <c r="M1269">
        <v>100</v>
      </c>
      <c r="N1269">
        <v>273</v>
      </c>
      <c r="O1269">
        <v>1E-3</v>
      </c>
      <c r="R1269">
        <f t="shared" si="38"/>
        <v>0</v>
      </c>
      <c r="S1269" s="3">
        <f t="shared" si="39"/>
        <v>0</v>
      </c>
    </row>
    <row r="1270" spans="1:19" x14ac:dyDescent="0.3">
      <c r="A1270" s="5">
        <v>45100</v>
      </c>
      <c r="B1270" t="s">
        <v>61</v>
      </c>
      <c r="H1270">
        <v>3327</v>
      </c>
      <c r="M1270">
        <v>109</v>
      </c>
      <c r="N1270">
        <v>348</v>
      </c>
      <c r="O1270">
        <v>1E-3</v>
      </c>
      <c r="R1270">
        <f t="shared" si="38"/>
        <v>0</v>
      </c>
      <c r="S1270" s="3">
        <f t="shared" si="39"/>
        <v>0</v>
      </c>
    </row>
    <row r="1271" spans="1:19" x14ac:dyDescent="0.3">
      <c r="A1271" s="5">
        <v>45101</v>
      </c>
      <c r="B1271" t="s">
        <v>61</v>
      </c>
      <c r="H1271">
        <v>3591</v>
      </c>
      <c r="M1271">
        <v>118</v>
      </c>
      <c r="N1271">
        <v>424</v>
      </c>
      <c r="O1271">
        <v>1E-3</v>
      </c>
      <c r="R1271">
        <f t="shared" si="38"/>
        <v>0</v>
      </c>
      <c r="S1271" s="3">
        <f t="shared" si="39"/>
        <v>0</v>
      </c>
    </row>
    <row r="1272" spans="1:19" x14ac:dyDescent="0.3">
      <c r="A1272" s="5">
        <v>45102</v>
      </c>
      <c r="B1272" t="s">
        <v>61</v>
      </c>
      <c r="H1272">
        <v>3855</v>
      </c>
      <c r="M1272">
        <v>126</v>
      </c>
      <c r="N1272">
        <v>499</v>
      </c>
      <c r="O1272">
        <v>2E-3</v>
      </c>
      <c r="R1272">
        <f t="shared" si="38"/>
        <v>0</v>
      </c>
      <c r="S1272" s="3">
        <f t="shared" si="39"/>
        <v>0</v>
      </c>
    </row>
    <row r="1273" spans="1:19" x14ac:dyDescent="0.3">
      <c r="A1273" s="5">
        <v>45103</v>
      </c>
      <c r="B1273" t="s">
        <v>61</v>
      </c>
      <c r="H1273">
        <v>4119</v>
      </c>
      <c r="M1273">
        <v>135</v>
      </c>
      <c r="N1273">
        <v>575</v>
      </c>
      <c r="O1273">
        <v>2E-3</v>
      </c>
      <c r="R1273">
        <f t="shared" si="38"/>
        <v>0</v>
      </c>
      <c r="S1273" s="3">
        <f t="shared" si="39"/>
        <v>0</v>
      </c>
    </row>
    <row r="1274" spans="1:19" x14ac:dyDescent="0.3">
      <c r="A1274" s="5">
        <v>45104</v>
      </c>
      <c r="B1274" t="s">
        <v>61</v>
      </c>
      <c r="H1274">
        <v>4384</v>
      </c>
      <c r="M1274">
        <v>144</v>
      </c>
      <c r="N1274">
        <v>650</v>
      </c>
      <c r="O1274">
        <v>2E-3</v>
      </c>
      <c r="R1274">
        <f t="shared" si="38"/>
        <v>0</v>
      </c>
      <c r="S1274" s="3">
        <f t="shared" si="39"/>
        <v>0</v>
      </c>
    </row>
    <row r="1275" spans="1:19" x14ac:dyDescent="0.3">
      <c r="A1275" s="5">
        <v>45105</v>
      </c>
      <c r="B1275" t="s">
        <v>61</v>
      </c>
      <c r="H1275">
        <v>4384</v>
      </c>
      <c r="M1275">
        <v>144</v>
      </c>
      <c r="N1275">
        <v>650</v>
      </c>
      <c r="O1275">
        <v>2E-3</v>
      </c>
      <c r="R1275">
        <f t="shared" si="38"/>
        <v>0</v>
      </c>
      <c r="S1275" s="3">
        <f t="shared" si="39"/>
        <v>0</v>
      </c>
    </row>
    <row r="1276" spans="1:19" x14ac:dyDescent="0.3">
      <c r="A1276" s="5">
        <v>45106</v>
      </c>
      <c r="B1276" t="s">
        <v>61</v>
      </c>
      <c r="H1276">
        <v>4384</v>
      </c>
      <c r="M1276">
        <v>144</v>
      </c>
      <c r="N1276">
        <v>650</v>
      </c>
      <c r="O1276">
        <v>2E-3</v>
      </c>
      <c r="R1276">
        <f t="shared" si="38"/>
        <v>0</v>
      </c>
      <c r="S1276" s="3">
        <f t="shared" si="39"/>
        <v>0</v>
      </c>
    </row>
    <row r="1277" spans="1:19" x14ac:dyDescent="0.3">
      <c r="A1277" s="5">
        <v>45107</v>
      </c>
      <c r="B1277" t="s">
        <v>61</v>
      </c>
      <c r="H1277">
        <v>4384</v>
      </c>
      <c r="M1277">
        <v>144</v>
      </c>
      <c r="N1277">
        <v>650</v>
      </c>
      <c r="O1277">
        <v>2E-3</v>
      </c>
      <c r="R1277">
        <f t="shared" si="38"/>
        <v>0</v>
      </c>
      <c r="S1277" s="3">
        <f t="shared" si="39"/>
        <v>0</v>
      </c>
    </row>
    <row r="1278" spans="1:19" x14ac:dyDescent="0.3">
      <c r="A1278" s="5">
        <v>45108</v>
      </c>
      <c r="B1278" t="s">
        <v>61</v>
      </c>
      <c r="H1278">
        <v>4384</v>
      </c>
      <c r="M1278">
        <v>144</v>
      </c>
      <c r="N1278">
        <v>650</v>
      </c>
      <c r="O1278">
        <v>2E-3</v>
      </c>
      <c r="R1278">
        <f t="shared" si="38"/>
        <v>0</v>
      </c>
      <c r="S1278" s="3">
        <f t="shared" si="39"/>
        <v>0</v>
      </c>
    </row>
    <row r="1279" spans="1:19" x14ac:dyDescent="0.3">
      <c r="A1279" s="5">
        <v>45109</v>
      </c>
      <c r="B1279" t="s">
        <v>61</v>
      </c>
      <c r="H1279">
        <v>4384</v>
      </c>
      <c r="M1279">
        <v>144</v>
      </c>
      <c r="N1279">
        <v>650</v>
      </c>
      <c r="O1279">
        <v>2E-3</v>
      </c>
      <c r="R1279">
        <f t="shared" si="38"/>
        <v>0</v>
      </c>
      <c r="S1279" s="3">
        <f t="shared" si="39"/>
        <v>0</v>
      </c>
    </row>
    <row r="1280" spans="1:19" x14ac:dyDescent="0.3">
      <c r="A1280" s="5">
        <v>45110</v>
      </c>
      <c r="B1280" t="s">
        <v>61</v>
      </c>
      <c r="H1280">
        <v>4384</v>
      </c>
      <c r="M1280">
        <v>144</v>
      </c>
      <c r="N1280">
        <v>650</v>
      </c>
      <c r="O1280">
        <v>2E-3</v>
      </c>
      <c r="R1280">
        <f t="shared" si="38"/>
        <v>0</v>
      </c>
      <c r="S1280" s="3">
        <f t="shared" si="39"/>
        <v>0</v>
      </c>
    </row>
    <row r="1281" spans="1:19" x14ac:dyDescent="0.3">
      <c r="A1281" s="5">
        <v>45111</v>
      </c>
      <c r="B1281" t="s">
        <v>61</v>
      </c>
      <c r="H1281">
        <v>4384</v>
      </c>
      <c r="M1281">
        <v>144</v>
      </c>
      <c r="N1281">
        <v>650</v>
      </c>
      <c r="O1281">
        <v>2E-3</v>
      </c>
      <c r="R1281">
        <f t="shared" si="38"/>
        <v>0</v>
      </c>
      <c r="S1281" s="3">
        <f t="shared" si="39"/>
        <v>0</v>
      </c>
    </row>
    <row r="1282" spans="1:19" x14ac:dyDescent="0.3">
      <c r="A1282" s="5">
        <v>45112</v>
      </c>
      <c r="B1282" t="s">
        <v>61</v>
      </c>
      <c r="H1282">
        <v>4384</v>
      </c>
      <c r="M1282">
        <v>144</v>
      </c>
      <c r="N1282">
        <v>650</v>
      </c>
      <c r="O1282">
        <v>2E-3</v>
      </c>
      <c r="R1282">
        <f t="shared" si="38"/>
        <v>0</v>
      </c>
      <c r="S1282" s="3">
        <f t="shared" si="39"/>
        <v>0</v>
      </c>
    </row>
    <row r="1283" spans="1:19" x14ac:dyDescent="0.3">
      <c r="A1283" s="5">
        <v>45113</v>
      </c>
      <c r="B1283" t="s">
        <v>61</v>
      </c>
      <c r="H1283">
        <v>4384</v>
      </c>
      <c r="M1283">
        <v>144</v>
      </c>
      <c r="N1283">
        <v>650</v>
      </c>
      <c r="O1283">
        <v>2E-3</v>
      </c>
      <c r="R1283">
        <f t="shared" si="38"/>
        <v>0</v>
      </c>
      <c r="S1283" s="3">
        <f t="shared" si="39"/>
        <v>0</v>
      </c>
    </row>
    <row r="1284" spans="1:19" x14ac:dyDescent="0.3">
      <c r="A1284" s="5">
        <v>45114</v>
      </c>
      <c r="B1284" t="s">
        <v>61</v>
      </c>
      <c r="H1284">
        <v>4384</v>
      </c>
      <c r="M1284">
        <v>144</v>
      </c>
      <c r="N1284">
        <v>650</v>
      </c>
      <c r="O1284">
        <v>2E-3</v>
      </c>
      <c r="R1284">
        <f t="shared" si="38"/>
        <v>0</v>
      </c>
      <c r="S1284" s="3">
        <f t="shared" si="39"/>
        <v>0</v>
      </c>
    </row>
    <row r="1285" spans="1:19" x14ac:dyDescent="0.3">
      <c r="A1285" s="5">
        <v>45115</v>
      </c>
      <c r="B1285" t="s">
        <v>61</v>
      </c>
      <c r="H1285">
        <v>4384</v>
      </c>
      <c r="M1285">
        <v>144</v>
      </c>
      <c r="N1285">
        <v>650</v>
      </c>
      <c r="O1285">
        <v>2E-3</v>
      </c>
      <c r="R1285">
        <f t="shared" si="38"/>
        <v>0</v>
      </c>
      <c r="S1285" s="3">
        <f t="shared" si="39"/>
        <v>0</v>
      </c>
    </row>
    <row r="1286" spans="1:19" x14ac:dyDescent="0.3">
      <c r="A1286" s="5">
        <v>45116</v>
      </c>
      <c r="B1286" t="s">
        <v>61</v>
      </c>
      <c r="H1286">
        <v>4384</v>
      </c>
      <c r="M1286">
        <v>144</v>
      </c>
      <c r="N1286">
        <v>650</v>
      </c>
      <c r="O1286">
        <v>2E-3</v>
      </c>
      <c r="R1286">
        <f t="shared" ref="R1286:R1349" si="40">J1286-K1286</f>
        <v>0</v>
      </c>
      <c r="S1286" s="3">
        <f t="shared" ref="S1286:S1349" si="41">MIN(1, (0.5*MAX(R1286,0) + 1*K1286)/100 )</f>
        <v>0</v>
      </c>
    </row>
    <row r="1287" spans="1:19" x14ac:dyDescent="0.3">
      <c r="A1287" s="5">
        <v>45117</v>
      </c>
      <c r="B1287" t="s">
        <v>61</v>
      </c>
      <c r="H1287">
        <v>4384</v>
      </c>
      <c r="M1287">
        <v>144</v>
      </c>
      <c r="N1287">
        <v>650</v>
      </c>
      <c r="O1287">
        <v>2E-3</v>
      </c>
      <c r="R1287">
        <f t="shared" si="40"/>
        <v>0</v>
      </c>
      <c r="S1287" s="3">
        <f t="shared" si="41"/>
        <v>0</v>
      </c>
    </row>
    <row r="1288" spans="1:19" x14ac:dyDescent="0.3">
      <c r="A1288" s="5">
        <v>45118</v>
      </c>
      <c r="B1288" t="s">
        <v>61</v>
      </c>
      <c r="H1288">
        <v>4384</v>
      </c>
      <c r="M1288">
        <v>144</v>
      </c>
      <c r="N1288">
        <v>650</v>
      </c>
      <c r="O1288">
        <v>2E-3</v>
      </c>
      <c r="R1288">
        <f t="shared" si="40"/>
        <v>0</v>
      </c>
      <c r="S1288" s="3">
        <f t="shared" si="41"/>
        <v>0</v>
      </c>
    </row>
    <row r="1289" spans="1:19" x14ac:dyDescent="0.3">
      <c r="A1289" s="5">
        <v>45119</v>
      </c>
      <c r="B1289" t="s">
        <v>61</v>
      </c>
      <c r="H1289">
        <v>4384</v>
      </c>
      <c r="M1289">
        <v>144</v>
      </c>
      <c r="N1289">
        <v>650</v>
      </c>
      <c r="O1289">
        <v>2E-3</v>
      </c>
      <c r="R1289">
        <f t="shared" si="40"/>
        <v>0</v>
      </c>
      <c r="S1289" s="3">
        <f t="shared" si="41"/>
        <v>0</v>
      </c>
    </row>
    <row r="1290" spans="1:19" x14ac:dyDescent="0.3">
      <c r="A1290" s="5">
        <v>45120</v>
      </c>
      <c r="B1290" t="s">
        <v>61</v>
      </c>
      <c r="H1290">
        <v>4384</v>
      </c>
      <c r="M1290">
        <v>144</v>
      </c>
      <c r="N1290">
        <v>650</v>
      </c>
      <c r="O1290">
        <v>2E-3</v>
      </c>
      <c r="R1290">
        <f t="shared" si="40"/>
        <v>0</v>
      </c>
      <c r="S1290" s="3">
        <f t="shared" si="41"/>
        <v>0</v>
      </c>
    </row>
    <row r="1291" spans="1:19" x14ac:dyDescent="0.3">
      <c r="A1291" s="5">
        <v>45121</v>
      </c>
      <c r="B1291" t="s">
        <v>61</v>
      </c>
      <c r="H1291">
        <v>4384</v>
      </c>
      <c r="M1291">
        <v>144</v>
      </c>
      <c r="N1291">
        <v>650</v>
      </c>
      <c r="O1291">
        <v>2E-3</v>
      </c>
      <c r="R1291">
        <f t="shared" si="40"/>
        <v>0</v>
      </c>
      <c r="S1291" s="3">
        <f t="shared" si="41"/>
        <v>0</v>
      </c>
    </row>
    <row r="1292" spans="1:19" x14ac:dyDescent="0.3">
      <c r="A1292" s="5">
        <v>45122</v>
      </c>
      <c r="B1292" t="s">
        <v>61</v>
      </c>
      <c r="H1292">
        <v>4384</v>
      </c>
      <c r="M1292">
        <v>144</v>
      </c>
      <c r="N1292">
        <v>650</v>
      </c>
      <c r="O1292">
        <v>2E-3</v>
      </c>
      <c r="R1292">
        <f t="shared" si="40"/>
        <v>0</v>
      </c>
      <c r="S1292" s="3">
        <f t="shared" si="41"/>
        <v>0</v>
      </c>
    </row>
    <row r="1293" spans="1:19" x14ac:dyDescent="0.3">
      <c r="A1293" s="5">
        <v>45123</v>
      </c>
      <c r="B1293" t="s">
        <v>61</v>
      </c>
      <c r="H1293">
        <v>4384</v>
      </c>
      <c r="M1293">
        <v>144</v>
      </c>
      <c r="N1293">
        <v>650</v>
      </c>
      <c r="O1293">
        <v>2E-3</v>
      </c>
      <c r="R1293">
        <f t="shared" si="40"/>
        <v>0</v>
      </c>
      <c r="S1293" s="3">
        <f t="shared" si="41"/>
        <v>0</v>
      </c>
    </row>
    <row r="1294" spans="1:19" x14ac:dyDescent="0.3">
      <c r="A1294" s="5">
        <v>45124</v>
      </c>
      <c r="B1294" t="s">
        <v>61</v>
      </c>
      <c r="H1294">
        <v>4384</v>
      </c>
      <c r="M1294">
        <v>144</v>
      </c>
      <c r="N1294">
        <v>650</v>
      </c>
      <c r="O1294">
        <v>2E-3</v>
      </c>
      <c r="R1294">
        <f t="shared" si="40"/>
        <v>0</v>
      </c>
      <c r="S1294" s="3">
        <f t="shared" si="41"/>
        <v>0</v>
      </c>
    </row>
    <row r="1295" spans="1:19" x14ac:dyDescent="0.3">
      <c r="A1295" s="5">
        <v>45125</v>
      </c>
      <c r="B1295" t="s">
        <v>61</v>
      </c>
      <c r="H1295">
        <v>4384</v>
      </c>
      <c r="M1295">
        <v>144</v>
      </c>
      <c r="N1295">
        <v>650</v>
      </c>
      <c r="O1295">
        <v>2E-3</v>
      </c>
      <c r="R1295">
        <f t="shared" si="40"/>
        <v>0</v>
      </c>
      <c r="S1295" s="3">
        <f t="shared" si="41"/>
        <v>0</v>
      </c>
    </row>
    <row r="1296" spans="1:19" x14ac:dyDescent="0.3">
      <c r="A1296" s="5">
        <v>45126</v>
      </c>
      <c r="B1296" t="s">
        <v>61</v>
      </c>
      <c r="H1296">
        <v>4384</v>
      </c>
      <c r="M1296">
        <v>144</v>
      </c>
      <c r="N1296">
        <v>650</v>
      </c>
      <c r="O1296">
        <v>2E-3</v>
      </c>
      <c r="R1296">
        <f t="shared" si="40"/>
        <v>0</v>
      </c>
      <c r="S1296" s="3">
        <f t="shared" si="41"/>
        <v>0</v>
      </c>
    </row>
    <row r="1297" spans="1:19" x14ac:dyDescent="0.3">
      <c r="A1297" s="5">
        <v>45127</v>
      </c>
      <c r="B1297" t="s">
        <v>61</v>
      </c>
      <c r="H1297">
        <v>4384</v>
      </c>
      <c r="M1297">
        <v>144</v>
      </c>
      <c r="N1297">
        <v>650</v>
      </c>
      <c r="O1297">
        <v>2E-3</v>
      </c>
      <c r="R1297">
        <f t="shared" si="40"/>
        <v>0</v>
      </c>
      <c r="S1297" s="3">
        <f t="shared" si="41"/>
        <v>0</v>
      </c>
    </row>
    <row r="1298" spans="1:19" x14ac:dyDescent="0.3">
      <c r="A1298" s="5">
        <v>45128</v>
      </c>
      <c r="B1298" t="s">
        <v>61</v>
      </c>
      <c r="H1298">
        <v>4384</v>
      </c>
      <c r="M1298">
        <v>144</v>
      </c>
      <c r="N1298">
        <v>650</v>
      </c>
      <c r="O1298">
        <v>2E-3</v>
      </c>
      <c r="R1298">
        <f t="shared" si="40"/>
        <v>0</v>
      </c>
      <c r="S1298" s="3">
        <f t="shared" si="41"/>
        <v>0</v>
      </c>
    </row>
    <row r="1299" spans="1:19" x14ac:dyDescent="0.3">
      <c r="A1299" s="5">
        <v>45129</v>
      </c>
      <c r="B1299" t="s">
        <v>61</v>
      </c>
      <c r="H1299">
        <v>4384</v>
      </c>
      <c r="M1299">
        <v>144</v>
      </c>
      <c r="N1299">
        <v>650</v>
      </c>
      <c r="O1299">
        <v>2E-3</v>
      </c>
      <c r="R1299">
        <f t="shared" si="40"/>
        <v>0</v>
      </c>
      <c r="S1299" s="3">
        <f t="shared" si="41"/>
        <v>0</v>
      </c>
    </row>
    <row r="1300" spans="1:19" x14ac:dyDescent="0.3">
      <c r="A1300" s="5">
        <v>45130</v>
      </c>
      <c r="B1300" t="s">
        <v>61</v>
      </c>
      <c r="H1300">
        <v>4384</v>
      </c>
      <c r="M1300">
        <v>144</v>
      </c>
      <c r="N1300">
        <v>650</v>
      </c>
      <c r="O1300">
        <v>2E-3</v>
      </c>
      <c r="R1300">
        <f t="shared" si="40"/>
        <v>0</v>
      </c>
      <c r="S1300" s="3">
        <f t="shared" si="41"/>
        <v>0</v>
      </c>
    </row>
    <row r="1301" spans="1:19" x14ac:dyDescent="0.3">
      <c r="A1301" s="5">
        <v>45131</v>
      </c>
      <c r="B1301" t="s">
        <v>61</v>
      </c>
      <c r="H1301">
        <v>4384</v>
      </c>
      <c r="M1301">
        <v>144</v>
      </c>
      <c r="N1301">
        <v>650</v>
      </c>
      <c r="O1301">
        <v>2E-3</v>
      </c>
      <c r="R1301">
        <f t="shared" si="40"/>
        <v>0</v>
      </c>
      <c r="S1301" s="3">
        <f t="shared" si="41"/>
        <v>0</v>
      </c>
    </row>
    <row r="1302" spans="1:19" x14ac:dyDescent="0.3">
      <c r="A1302" s="5">
        <v>45132</v>
      </c>
      <c r="B1302" t="s">
        <v>61</v>
      </c>
      <c r="H1302">
        <v>4384</v>
      </c>
      <c r="M1302">
        <v>144</v>
      </c>
      <c r="N1302">
        <v>650</v>
      </c>
      <c r="O1302">
        <v>2E-3</v>
      </c>
      <c r="R1302">
        <f t="shared" si="40"/>
        <v>0</v>
      </c>
      <c r="S1302" s="3">
        <f t="shared" si="41"/>
        <v>0</v>
      </c>
    </row>
    <row r="1303" spans="1:19" x14ac:dyDescent="0.3">
      <c r="A1303" s="5">
        <v>45133</v>
      </c>
      <c r="B1303" t="s">
        <v>61</v>
      </c>
      <c r="H1303">
        <v>4384</v>
      </c>
      <c r="M1303">
        <v>144</v>
      </c>
      <c r="N1303">
        <v>650</v>
      </c>
      <c r="O1303">
        <v>2E-3</v>
      </c>
      <c r="R1303">
        <f t="shared" si="40"/>
        <v>0</v>
      </c>
      <c r="S1303" s="3">
        <f t="shared" si="41"/>
        <v>0</v>
      </c>
    </row>
    <row r="1304" spans="1:19" x14ac:dyDescent="0.3">
      <c r="A1304" s="5">
        <v>45134</v>
      </c>
      <c r="B1304" t="s">
        <v>61</v>
      </c>
      <c r="H1304">
        <v>4384</v>
      </c>
      <c r="M1304">
        <v>144</v>
      </c>
      <c r="N1304">
        <v>650</v>
      </c>
      <c r="O1304">
        <v>2E-3</v>
      </c>
      <c r="R1304">
        <f t="shared" si="40"/>
        <v>0</v>
      </c>
      <c r="S1304" s="3">
        <f t="shared" si="41"/>
        <v>0</v>
      </c>
    </row>
    <row r="1305" spans="1:19" x14ac:dyDescent="0.3">
      <c r="A1305" s="5">
        <v>45135</v>
      </c>
      <c r="B1305" t="s">
        <v>61</v>
      </c>
      <c r="H1305">
        <v>4384</v>
      </c>
      <c r="M1305">
        <v>144</v>
      </c>
      <c r="N1305">
        <v>650</v>
      </c>
      <c r="O1305">
        <v>2E-3</v>
      </c>
      <c r="R1305">
        <f t="shared" si="40"/>
        <v>0</v>
      </c>
      <c r="S1305" s="3">
        <f t="shared" si="41"/>
        <v>0</v>
      </c>
    </row>
    <row r="1306" spans="1:19" x14ac:dyDescent="0.3">
      <c r="A1306" s="5">
        <v>45136</v>
      </c>
      <c r="B1306" t="s">
        <v>61</v>
      </c>
      <c r="H1306">
        <v>4384</v>
      </c>
      <c r="M1306">
        <v>144</v>
      </c>
      <c r="N1306">
        <v>650</v>
      </c>
      <c r="O1306">
        <v>2E-3</v>
      </c>
      <c r="R1306">
        <f t="shared" si="40"/>
        <v>0</v>
      </c>
      <c r="S1306" s="3">
        <f t="shared" si="41"/>
        <v>0</v>
      </c>
    </row>
    <row r="1307" spans="1:19" x14ac:dyDescent="0.3">
      <c r="A1307" s="5">
        <v>45137</v>
      </c>
      <c r="B1307" t="s">
        <v>61</v>
      </c>
      <c r="H1307">
        <v>4384</v>
      </c>
      <c r="M1307">
        <v>144</v>
      </c>
      <c r="N1307">
        <v>650</v>
      </c>
      <c r="O1307">
        <v>2E-3</v>
      </c>
      <c r="R1307">
        <f t="shared" si="40"/>
        <v>0</v>
      </c>
      <c r="S1307" s="3">
        <f t="shared" si="41"/>
        <v>0</v>
      </c>
    </row>
    <row r="1308" spans="1:19" x14ac:dyDescent="0.3">
      <c r="A1308" s="5">
        <v>45138</v>
      </c>
      <c r="B1308" t="s">
        <v>61</v>
      </c>
      <c r="H1308">
        <v>4384</v>
      </c>
      <c r="M1308">
        <v>144</v>
      </c>
      <c r="N1308">
        <v>650</v>
      </c>
      <c r="O1308">
        <v>2E-3</v>
      </c>
      <c r="R1308">
        <f t="shared" si="40"/>
        <v>0</v>
      </c>
      <c r="S1308" s="3">
        <f t="shared" si="41"/>
        <v>0</v>
      </c>
    </row>
    <row r="1309" spans="1:19" x14ac:dyDescent="0.3">
      <c r="A1309" s="5">
        <v>45139</v>
      </c>
      <c r="B1309" t="s">
        <v>61</v>
      </c>
      <c r="H1309">
        <v>4384</v>
      </c>
      <c r="M1309">
        <v>144</v>
      </c>
      <c r="N1309">
        <v>650</v>
      </c>
      <c r="O1309">
        <v>2E-3</v>
      </c>
      <c r="R1309">
        <f t="shared" si="40"/>
        <v>0</v>
      </c>
      <c r="S1309" s="3">
        <f t="shared" si="41"/>
        <v>0</v>
      </c>
    </row>
    <row r="1310" spans="1:19" x14ac:dyDescent="0.3">
      <c r="A1310" s="5">
        <v>45140</v>
      </c>
      <c r="B1310" t="s">
        <v>61</v>
      </c>
      <c r="H1310">
        <v>4384</v>
      </c>
      <c r="M1310">
        <v>144</v>
      </c>
      <c r="N1310">
        <v>650</v>
      </c>
      <c r="O1310">
        <v>2E-3</v>
      </c>
      <c r="R1310">
        <f t="shared" si="40"/>
        <v>0</v>
      </c>
      <c r="S1310" s="3">
        <f t="shared" si="41"/>
        <v>0</v>
      </c>
    </row>
    <row r="1311" spans="1:19" x14ac:dyDescent="0.3">
      <c r="A1311" s="5">
        <v>45141</v>
      </c>
      <c r="B1311" t="s">
        <v>61</v>
      </c>
      <c r="H1311">
        <v>4384</v>
      </c>
      <c r="M1311">
        <v>144</v>
      </c>
      <c r="N1311">
        <v>650</v>
      </c>
      <c r="O1311">
        <v>2E-3</v>
      </c>
      <c r="R1311">
        <f t="shared" si="40"/>
        <v>0</v>
      </c>
      <c r="S1311" s="3">
        <f t="shared" si="41"/>
        <v>0</v>
      </c>
    </row>
    <row r="1312" spans="1:19" x14ac:dyDescent="0.3">
      <c r="A1312" s="5">
        <v>45142</v>
      </c>
      <c r="B1312" t="s">
        <v>61</v>
      </c>
      <c r="H1312">
        <v>4384</v>
      </c>
      <c r="M1312">
        <v>144</v>
      </c>
      <c r="N1312">
        <v>650</v>
      </c>
      <c r="O1312">
        <v>2E-3</v>
      </c>
      <c r="R1312">
        <f t="shared" si="40"/>
        <v>0</v>
      </c>
      <c r="S1312" s="3">
        <f t="shared" si="41"/>
        <v>0</v>
      </c>
    </row>
    <row r="1313" spans="1:19" x14ac:dyDescent="0.3">
      <c r="A1313" s="5">
        <v>45143</v>
      </c>
      <c r="B1313" t="s">
        <v>61</v>
      </c>
      <c r="H1313">
        <v>4384</v>
      </c>
      <c r="M1313">
        <v>144</v>
      </c>
      <c r="N1313">
        <v>650</v>
      </c>
      <c r="O1313">
        <v>2E-3</v>
      </c>
      <c r="R1313">
        <f t="shared" si="40"/>
        <v>0</v>
      </c>
      <c r="S1313" s="3">
        <f t="shared" si="41"/>
        <v>0</v>
      </c>
    </row>
    <row r="1314" spans="1:19" x14ac:dyDescent="0.3">
      <c r="A1314" s="5">
        <v>45144</v>
      </c>
      <c r="B1314" t="s">
        <v>61</v>
      </c>
      <c r="H1314">
        <v>4384</v>
      </c>
      <c r="M1314">
        <v>144</v>
      </c>
      <c r="N1314">
        <v>650</v>
      </c>
      <c r="O1314">
        <v>2E-3</v>
      </c>
      <c r="R1314">
        <f t="shared" si="40"/>
        <v>0</v>
      </c>
      <c r="S1314" s="3">
        <f t="shared" si="41"/>
        <v>0</v>
      </c>
    </row>
    <row r="1315" spans="1:19" x14ac:dyDescent="0.3">
      <c r="A1315" s="5">
        <v>45145</v>
      </c>
      <c r="B1315" t="s">
        <v>61</v>
      </c>
      <c r="H1315">
        <v>4384</v>
      </c>
      <c r="M1315">
        <v>144</v>
      </c>
      <c r="N1315">
        <v>650</v>
      </c>
      <c r="O1315">
        <v>2E-3</v>
      </c>
      <c r="R1315">
        <f t="shared" si="40"/>
        <v>0</v>
      </c>
      <c r="S1315" s="3">
        <f t="shared" si="41"/>
        <v>0</v>
      </c>
    </row>
    <row r="1316" spans="1:19" x14ac:dyDescent="0.3">
      <c r="A1316" s="5">
        <v>45146</v>
      </c>
      <c r="B1316" t="s">
        <v>61</v>
      </c>
      <c r="H1316">
        <v>4384</v>
      </c>
      <c r="M1316">
        <v>144</v>
      </c>
      <c r="N1316">
        <v>650</v>
      </c>
      <c r="O1316">
        <v>2E-3</v>
      </c>
      <c r="R1316">
        <f t="shared" si="40"/>
        <v>0</v>
      </c>
      <c r="S1316" s="3">
        <f t="shared" si="41"/>
        <v>0</v>
      </c>
    </row>
    <row r="1317" spans="1:19" x14ac:dyDescent="0.3">
      <c r="A1317" s="5">
        <v>45147</v>
      </c>
      <c r="B1317" t="s">
        <v>61</v>
      </c>
      <c r="H1317">
        <v>4384</v>
      </c>
      <c r="M1317">
        <v>144</v>
      </c>
      <c r="N1317">
        <v>650</v>
      </c>
      <c r="O1317">
        <v>2E-3</v>
      </c>
      <c r="R1317">
        <f t="shared" si="40"/>
        <v>0</v>
      </c>
      <c r="S1317" s="3">
        <f t="shared" si="41"/>
        <v>0</v>
      </c>
    </row>
    <row r="1318" spans="1:19" x14ac:dyDescent="0.3">
      <c r="A1318" s="5">
        <v>45148</v>
      </c>
      <c r="B1318" t="s">
        <v>61</v>
      </c>
      <c r="H1318">
        <v>4384</v>
      </c>
      <c r="M1318">
        <v>144</v>
      </c>
      <c r="N1318">
        <v>650</v>
      </c>
      <c r="O1318">
        <v>2E-3</v>
      </c>
      <c r="R1318">
        <f t="shared" si="40"/>
        <v>0</v>
      </c>
      <c r="S1318" s="3">
        <f t="shared" si="41"/>
        <v>0</v>
      </c>
    </row>
    <row r="1319" spans="1:19" x14ac:dyDescent="0.3">
      <c r="A1319" s="5">
        <v>45149</v>
      </c>
      <c r="B1319" t="s">
        <v>61</v>
      </c>
      <c r="H1319">
        <v>4384</v>
      </c>
      <c r="M1319">
        <v>144</v>
      </c>
      <c r="N1319">
        <v>650</v>
      </c>
      <c r="O1319">
        <v>2E-3</v>
      </c>
      <c r="R1319">
        <f t="shared" si="40"/>
        <v>0</v>
      </c>
      <c r="S1319" s="3">
        <f t="shared" si="41"/>
        <v>0</v>
      </c>
    </row>
    <row r="1320" spans="1:19" x14ac:dyDescent="0.3">
      <c r="A1320" s="5">
        <v>45150</v>
      </c>
      <c r="B1320" t="s">
        <v>61</v>
      </c>
      <c r="H1320">
        <v>4384</v>
      </c>
      <c r="M1320">
        <v>144</v>
      </c>
      <c r="N1320">
        <v>650</v>
      </c>
      <c r="O1320">
        <v>2E-3</v>
      </c>
      <c r="R1320">
        <f t="shared" si="40"/>
        <v>0</v>
      </c>
      <c r="S1320" s="3">
        <f t="shared" si="41"/>
        <v>0</v>
      </c>
    </row>
    <row r="1321" spans="1:19" x14ac:dyDescent="0.3">
      <c r="A1321" s="5">
        <v>45151</v>
      </c>
      <c r="B1321" t="s">
        <v>61</v>
      </c>
      <c r="H1321">
        <v>4384</v>
      </c>
      <c r="M1321">
        <v>144</v>
      </c>
      <c r="N1321">
        <v>650</v>
      </c>
      <c r="O1321">
        <v>2E-3</v>
      </c>
      <c r="R1321">
        <f t="shared" si="40"/>
        <v>0</v>
      </c>
      <c r="S1321" s="3">
        <f t="shared" si="41"/>
        <v>0</v>
      </c>
    </row>
    <row r="1322" spans="1:19" x14ac:dyDescent="0.3">
      <c r="A1322" s="5">
        <v>45152</v>
      </c>
      <c r="B1322" t="s">
        <v>61</v>
      </c>
      <c r="H1322">
        <v>4384</v>
      </c>
      <c r="M1322">
        <v>144</v>
      </c>
      <c r="N1322">
        <v>650</v>
      </c>
      <c r="O1322">
        <v>2E-3</v>
      </c>
      <c r="R1322">
        <f t="shared" si="40"/>
        <v>0</v>
      </c>
      <c r="S1322" s="3">
        <f t="shared" si="41"/>
        <v>0</v>
      </c>
    </row>
    <row r="1323" spans="1:19" x14ac:dyDescent="0.3">
      <c r="A1323" s="5">
        <v>45153</v>
      </c>
      <c r="B1323" t="s">
        <v>61</v>
      </c>
      <c r="H1323">
        <v>4384</v>
      </c>
      <c r="M1323">
        <v>144</v>
      </c>
      <c r="N1323">
        <v>650</v>
      </c>
      <c r="O1323">
        <v>2E-3</v>
      </c>
      <c r="R1323">
        <f t="shared" si="40"/>
        <v>0</v>
      </c>
      <c r="S1323" s="3">
        <f t="shared" si="41"/>
        <v>0</v>
      </c>
    </row>
    <row r="1324" spans="1:19" x14ac:dyDescent="0.3">
      <c r="A1324" s="5">
        <v>45154</v>
      </c>
      <c r="B1324" t="s">
        <v>61</v>
      </c>
      <c r="H1324">
        <v>4384</v>
      </c>
      <c r="M1324">
        <v>144</v>
      </c>
      <c r="N1324">
        <v>650</v>
      </c>
      <c r="O1324">
        <v>2E-3</v>
      </c>
      <c r="R1324">
        <f t="shared" si="40"/>
        <v>0</v>
      </c>
      <c r="S1324" s="3">
        <f t="shared" si="41"/>
        <v>0</v>
      </c>
    </row>
    <row r="1325" spans="1:19" x14ac:dyDescent="0.3">
      <c r="A1325" s="5">
        <v>45155</v>
      </c>
      <c r="B1325" t="s">
        <v>61</v>
      </c>
      <c r="H1325">
        <v>4384</v>
      </c>
      <c r="M1325">
        <v>144</v>
      </c>
      <c r="N1325">
        <v>650</v>
      </c>
      <c r="O1325">
        <v>2E-3</v>
      </c>
      <c r="R1325">
        <f t="shared" si="40"/>
        <v>0</v>
      </c>
      <c r="S1325" s="3">
        <f t="shared" si="41"/>
        <v>0</v>
      </c>
    </row>
    <row r="1326" spans="1:19" x14ac:dyDescent="0.3">
      <c r="A1326" s="5">
        <v>45156</v>
      </c>
      <c r="B1326" t="s">
        <v>61</v>
      </c>
      <c r="H1326">
        <v>4384</v>
      </c>
      <c r="M1326">
        <v>144</v>
      </c>
      <c r="N1326">
        <v>650</v>
      </c>
      <c r="O1326">
        <v>2E-3</v>
      </c>
      <c r="R1326">
        <f t="shared" si="40"/>
        <v>0</v>
      </c>
      <c r="S1326" s="3">
        <f t="shared" si="41"/>
        <v>0</v>
      </c>
    </row>
    <row r="1327" spans="1:19" x14ac:dyDescent="0.3">
      <c r="A1327" s="5">
        <v>45157</v>
      </c>
      <c r="B1327" t="s">
        <v>61</v>
      </c>
      <c r="H1327">
        <v>4384</v>
      </c>
      <c r="M1327">
        <v>144</v>
      </c>
      <c r="N1327">
        <v>650</v>
      </c>
      <c r="O1327">
        <v>2E-3</v>
      </c>
      <c r="R1327">
        <f t="shared" si="40"/>
        <v>0</v>
      </c>
      <c r="S1327" s="3">
        <f t="shared" si="41"/>
        <v>0</v>
      </c>
    </row>
    <row r="1328" spans="1:19" x14ac:dyDescent="0.3">
      <c r="A1328" s="5">
        <v>45158</v>
      </c>
      <c r="B1328" t="s">
        <v>61</v>
      </c>
      <c r="H1328">
        <v>4384</v>
      </c>
      <c r="M1328">
        <v>144</v>
      </c>
      <c r="N1328">
        <v>650</v>
      </c>
      <c r="O1328">
        <v>2E-3</v>
      </c>
      <c r="R1328">
        <f t="shared" si="40"/>
        <v>0</v>
      </c>
      <c r="S1328" s="3">
        <f t="shared" si="41"/>
        <v>0</v>
      </c>
    </row>
    <row r="1329" spans="1:19" x14ac:dyDescent="0.3">
      <c r="A1329" s="5">
        <v>45159</v>
      </c>
      <c r="B1329" t="s">
        <v>61</v>
      </c>
      <c r="H1329">
        <v>4384</v>
      </c>
      <c r="M1329">
        <v>144</v>
      </c>
      <c r="N1329">
        <v>650</v>
      </c>
      <c r="O1329">
        <v>2E-3</v>
      </c>
      <c r="R1329">
        <f t="shared" si="40"/>
        <v>0</v>
      </c>
      <c r="S1329" s="3">
        <f t="shared" si="41"/>
        <v>0</v>
      </c>
    </row>
    <row r="1330" spans="1:19" x14ac:dyDescent="0.3">
      <c r="A1330" s="5">
        <v>45160</v>
      </c>
      <c r="B1330" t="s">
        <v>61</v>
      </c>
      <c r="H1330">
        <v>4384</v>
      </c>
      <c r="M1330">
        <v>144</v>
      </c>
      <c r="N1330">
        <v>650</v>
      </c>
      <c r="O1330">
        <v>2E-3</v>
      </c>
      <c r="R1330">
        <f t="shared" si="40"/>
        <v>0</v>
      </c>
      <c r="S1330" s="3">
        <f t="shared" si="41"/>
        <v>0</v>
      </c>
    </row>
    <row r="1331" spans="1:19" x14ac:dyDescent="0.3">
      <c r="A1331" s="5">
        <v>45161</v>
      </c>
      <c r="B1331" t="s">
        <v>61</v>
      </c>
      <c r="H1331">
        <v>4384</v>
      </c>
      <c r="M1331">
        <v>144</v>
      </c>
      <c r="N1331">
        <v>650</v>
      </c>
      <c r="O1331">
        <v>2E-3</v>
      </c>
      <c r="R1331">
        <f t="shared" si="40"/>
        <v>0</v>
      </c>
      <c r="S1331" s="3">
        <f t="shared" si="41"/>
        <v>0</v>
      </c>
    </row>
    <row r="1332" spans="1:19" x14ac:dyDescent="0.3">
      <c r="A1332" s="5">
        <v>45162</v>
      </c>
      <c r="B1332" t="s">
        <v>61</v>
      </c>
      <c r="H1332">
        <v>4384</v>
      </c>
      <c r="M1332">
        <v>144</v>
      </c>
      <c r="N1332">
        <v>650</v>
      </c>
      <c r="O1332">
        <v>2E-3</v>
      </c>
      <c r="R1332">
        <f t="shared" si="40"/>
        <v>0</v>
      </c>
      <c r="S1332" s="3">
        <f t="shared" si="41"/>
        <v>0</v>
      </c>
    </row>
    <row r="1333" spans="1:19" x14ac:dyDescent="0.3">
      <c r="A1333" s="5">
        <v>45163</v>
      </c>
      <c r="B1333" t="s">
        <v>61</v>
      </c>
      <c r="H1333">
        <v>4384</v>
      </c>
      <c r="M1333">
        <v>144</v>
      </c>
      <c r="N1333">
        <v>650</v>
      </c>
      <c r="O1333">
        <v>2E-3</v>
      </c>
      <c r="R1333">
        <f t="shared" si="40"/>
        <v>0</v>
      </c>
      <c r="S1333" s="3">
        <f t="shared" si="41"/>
        <v>0</v>
      </c>
    </row>
    <row r="1334" spans="1:19" x14ac:dyDescent="0.3">
      <c r="A1334" s="5">
        <v>45164</v>
      </c>
      <c r="B1334" t="s">
        <v>61</v>
      </c>
      <c r="H1334">
        <v>4384</v>
      </c>
      <c r="M1334">
        <v>144</v>
      </c>
      <c r="N1334">
        <v>650</v>
      </c>
      <c r="O1334">
        <v>2E-3</v>
      </c>
      <c r="R1334">
        <f t="shared" si="40"/>
        <v>0</v>
      </c>
      <c r="S1334" s="3">
        <f t="shared" si="41"/>
        <v>0</v>
      </c>
    </row>
    <row r="1335" spans="1:19" x14ac:dyDescent="0.3">
      <c r="A1335" s="5">
        <v>45165</v>
      </c>
      <c r="B1335" t="s">
        <v>61</v>
      </c>
      <c r="H1335">
        <v>4384</v>
      </c>
      <c r="M1335">
        <v>144</v>
      </c>
      <c r="N1335">
        <v>650</v>
      </c>
      <c r="O1335">
        <v>2E-3</v>
      </c>
      <c r="R1335">
        <f t="shared" si="40"/>
        <v>0</v>
      </c>
      <c r="S1335" s="3">
        <f t="shared" si="41"/>
        <v>0</v>
      </c>
    </row>
    <row r="1336" spans="1:19" x14ac:dyDescent="0.3">
      <c r="A1336" s="5">
        <v>45166</v>
      </c>
      <c r="B1336" t="s">
        <v>61</v>
      </c>
      <c r="H1336">
        <v>4384</v>
      </c>
      <c r="M1336">
        <v>144</v>
      </c>
      <c r="N1336">
        <v>650</v>
      </c>
      <c r="O1336">
        <v>2E-3</v>
      </c>
      <c r="R1336">
        <f t="shared" si="40"/>
        <v>0</v>
      </c>
      <c r="S1336" s="3">
        <f t="shared" si="41"/>
        <v>0</v>
      </c>
    </row>
    <row r="1337" spans="1:19" x14ac:dyDescent="0.3">
      <c r="A1337" s="5">
        <v>45167</v>
      </c>
      <c r="B1337" t="s">
        <v>61</v>
      </c>
      <c r="H1337">
        <v>4384</v>
      </c>
      <c r="M1337">
        <v>144</v>
      </c>
      <c r="N1337">
        <v>650</v>
      </c>
      <c r="O1337">
        <v>2E-3</v>
      </c>
      <c r="R1337">
        <f t="shared" si="40"/>
        <v>0</v>
      </c>
      <c r="S1337" s="3">
        <f t="shared" si="41"/>
        <v>0</v>
      </c>
    </row>
    <row r="1338" spans="1:19" x14ac:dyDescent="0.3">
      <c r="A1338" s="5">
        <v>45168</v>
      </c>
      <c r="B1338" t="s">
        <v>61</v>
      </c>
      <c r="H1338">
        <v>4384</v>
      </c>
      <c r="M1338">
        <v>144</v>
      </c>
      <c r="N1338">
        <v>650</v>
      </c>
      <c r="O1338">
        <v>2E-3</v>
      </c>
      <c r="R1338">
        <f t="shared" si="40"/>
        <v>0</v>
      </c>
      <c r="S1338" s="3">
        <f t="shared" si="41"/>
        <v>0</v>
      </c>
    </row>
    <row r="1339" spans="1:19" x14ac:dyDescent="0.3">
      <c r="A1339" s="5">
        <v>45169</v>
      </c>
      <c r="B1339" t="s">
        <v>61</v>
      </c>
      <c r="H1339">
        <v>4384</v>
      </c>
      <c r="M1339">
        <v>144</v>
      </c>
      <c r="N1339">
        <v>650</v>
      </c>
      <c r="O1339">
        <v>2E-3</v>
      </c>
      <c r="R1339">
        <f t="shared" si="40"/>
        <v>0</v>
      </c>
      <c r="S1339" s="3">
        <f t="shared" si="41"/>
        <v>0</v>
      </c>
    </row>
    <row r="1340" spans="1:19" x14ac:dyDescent="0.3">
      <c r="A1340" s="5">
        <v>45170</v>
      </c>
      <c r="B1340" t="s">
        <v>61</v>
      </c>
      <c r="H1340">
        <v>4384</v>
      </c>
      <c r="M1340">
        <v>144</v>
      </c>
      <c r="N1340">
        <v>650</v>
      </c>
      <c r="O1340">
        <v>2E-3</v>
      </c>
      <c r="R1340">
        <f t="shared" si="40"/>
        <v>0</v>
      </c>
      <c r="S1340" s="3">
        <f t="shared" si="41"/>
        <v>0</v>
      </c>
    </row>
    <row r="1341" spans="1:19" x14ac:dyDescent="0.3">
      <c r="A1341" s="5">
        <v>45171</v>
      </c>
      <c r="B1341" t="s">
        <v>61</v>
      </c>
      <c r="H1341">
        <v>4384</v>
      </c>
      <c r="M1341">
        <v>144</v>
      </c>
      <c r="N1341">
        <v>650</v>
      </c>
      <c r="O1341">
        <v>2E-3</v>
      </c>
      <c r="R1341">
        <f t="shared" si="40"/>
        <v>0</v>
      </c>
      <c r="S1341" s="3">
        <f t="shared" si="41"/>
        <v>0</v>
      </c>
    </row>
    <row r="1342" spans="1:19" x14ac:dyDescent="0.3">
      <c r="A1342" s="5">
        <v>45172</v>
      </c>
      <c r="B1342" t="s">
        <v>61</v>
      </c>
      <c r="H1342">
        <v>4384</v>
      </c>
      <c r="M1342">
        <v>144</v>
      </c>
      <c r="N1342">
        <v>650</v>
      </c>
      <c r="O1342">
        <v>2E-3</v>
      </c>
      <c r="R1342">
        <f t="shared" si="40"/>
        <v>0</v>
      </c>
      <c r="S1342" s="3">
        <f t="shared" si="41"/>
        <v>0</v>
      </c>
    </row>
    <row r="1343" spans="1:19" x14ac:dyDescent="0.3">
      <c r="A1343" s="5">
        <v>45173</v>
      </c>
      <c r="B1343" t="s">
        <v>61</v>
      </c>
      <c r="H1343">
        <v>4384</v>
      </c>
      <c r="M1343">
        <v>144</v>
      </c>
      <c r="N1343">
        <v>650</v>
      </c>
      <c r="O1343">
        <v>2E-3</v>
      </c>
      <c r="R1343">
        <f t="shared" si="40"/>
        <v>0</v>
      </c>
      <c r="S1343" s="3">
        <f t="shared" si="41"/>
        <v>0</v>
      </c>
    </row>
    <row r="1344" spans="1:19" x14ac:dyDescent="0.3">
      <c r="A1344" s="5">
        <v>45174</v>
      </c>
      <c r="B1344" t="s">
        <v>61</v>
      </c>
      <c r="H1344">
        <v>4384</v>
      </c>
      <c r="M1344">
        <v>144</v>
      </c>
      <c r="N1344">
        <v>650</v>
      </c>
      <c r="O1344">
        <v>2E-3</v>
      </c>
      <c r="R1344">
        <f t="shared" si="40"/>
        <v>0</v>
      </c>
      <c r="S1344" s="3">
        <f t="shared" si="41"/>
        <v>0</v>
      </c>
    </row>
    <row r="1345" spans="1:19" x14ac:dyDescent="0.3">
      <c r="A1345" s="5">
        <v>45175</v>
      </c>
      <c r="B1345" t="s">
        <v>61</v>
      </c>
      <c r="H1345">
        <v>4384</v>
      </c>
      <c r="M1345">
        <v>144</v>
      </c>
      <c r="N1345">
        <v>650</v>
      </c>
      <c r="O1345">
        <v>2E-3</v>
      </c>
      <c r="R1345">
        <f t="shared" si="40"/>
        <v>0</v>
      </c>
      <c r="S1345" s="3">
        <f t="shared" si="41"/>
        <v>0</v>
      </c>
    </row>
    <row r="1346" spans="1:19" x14ac:dyDescent="0.3">
      <c r="A1346" s="5">
        <v>45176</v>
      </c>
      <c r="B1346" t="s">
        <v>61</v>
      </c>
      <c r="H1346">
        <v>4384</v>
      </c>
      <c r="M1346">
        <v>144</v>
      </c>
      <c r="N1346">
        <v>650</v>
      </c>
      <c r="O1346">
        <v>2E-3</v>
      </c>
      <c r="R1346">
        <f t="shared" si="40"/>
        <v>0</v>
      </c>
      <c r="S1346" s="3">
        <f t="shared" si="41"/>
        <v>0</v>
      </c>
    </row>
    <row r="1347" spans="1:19" x14ac:dyDescent="0.3">
      <c r="A1347" s="5">
        <v>45177</v>
      </c>
      <c r="B1347" t="s">
        <v>61</v>
      </c>
      <c r="H1347">
        <v>4384</v>
      </c>
      <c r="M1347">
        <v>144</v>
      </c>
      <c r="N1347">
        <v>650</v>
      </c>
      <c r="O1347">
        <v>2E-3</v>
      </c>
      <c r="R1347">
        <f t="shared" si="40"/>
        <v>0</v>
      </c>
      <c r="S1347" s="3">
        <f t="shared" si="41"/>
        <v>0</v>
      </c>
    </row>
    <row r="1348" spans="1:19" x14ac:dyDescent="0.3">
      <c r="A1348" s="5">
        <v>45178</v>
      </c>
      <c r="B1348" t="s">
        <v>61</v>
      </c>
      <c r="H1348">
        <v>4384</v>
      </c>
      <c r="M1348">
        <v>144</v>
      </c>
      <c r="N1348">
        <v>650</v>
      </c>
      <c r="O1348">
        <v>2E-3</v>
      </c>
      <c r="R1348">
        <f t="shared" si="40"/>
        <v>0</v>
      </c>
      <c r="S1348" s="3">
        <f t="shared" si="41"/>
        <v>0</v>
      </c>
    </row>
    <row r="1349" spans="1:19" x14ac:dyDescent="0.3">
      <c r="A1349" s="5">
        <v>45179</v>
      </c>
      <c r="B1349" t="s">
        <v>61</v>
      </c>
      <c r="H1349">
        <v>4384</v>
      </c>
      <c r="M1349">
        <v>144</v>
      </c>
      <c r="N1349">
        <v>650</v>
      </c>
      <c r="O1349">
        <v>2E-3</v>
      </c>
      <c r="R1349">
        <f t="shared" si="40"/>
        <v>0</v>
      </c>
      <c r="S1349" s="3">
        <f t="shared" si="41"/>
        <v>0</v>
      </c>
    </row>
    <row r="1350" spans="1:19" x14ac:dyDescent="0.3">
      <c r="A1350" s="5">
        <v>45180</v>
      </c>
      <c r="B1350" t="s">
        <v>61</v>
      </c>
      <c r="H1350">
        <v>4384</v>
      </c>
      <c r="M1350">
        <v>144</v>
      </c>
      <c r="N1350">
        <v>650</v>
      </c>
      <c r="O1350">
        <v>2E-3</v>
      </c>
      <c r="R1350">
        <f t="shared" ref="R1350:R1413" si="42">J1350-K1350</f>
        <v>0</v>
      </c>
      <c r="S1350" s="3">
        <f t="shared" ref="S1350:S1413" si="43">MIN(1, (0.5*MAX(R1350,0) + 1*K1350)/100 )</f>
        <v>0</v>
      </c>
    </row>
    <row r="1351" spans="1:19" x14ac:dyDescent="0.3">
      <c r="A1351" s="5">
        <v>45181</v>
      </c>
      <c r="B1351" t="s">
        <v>61</v>
      </c>
      <c r="H1351">
        <v>4384</v>
      </c>
      <c r="M1351">
        <v>144</v>
      </c>
      <c r="N1351">
        <v>650</v>
      </c>
      <c r="O1351">
        <v>2E-3</v>
      </c>
      <c r="R1351">
        <f t="shared" si="42"/>
        <v>0</v>
      </c>
      <c r="S1351" s="3">
        <f t="shared" si="43"/>
        <v>0</v>
      </c>
    </row>
    <row r="1352" spans="1:19" x14ac:dyDescent="0.3">
      <c r="A1352" s="5">
        <v>45182</v>
      </c>
      <c r="B1352" t="s">
        <v>61</v>
      </c>
      <c r="H1352">
        <v>4384</v>
      </c>
      <c r="M1352">
        <v>144</v>
      </c>
      <c r="N1352">
        <v>650</v>
      </c>
      <c r="O1352">
        <v>2E-3</v>
      </c>
      <c r="R1352">
        <f t="shared" si="42"/>
        <v>0</v>
      </c>
      <c r="S1352" s="3">
        <f t="shared" si="43"/>
        <v>0</v>
      </c>
    </row>
    <row r="1353" spans="1:19" x14ac:dyDescent="0.3">
      <c r="A1353" s="5">
        <v>45183</v>
      </c>
      <c r="B1353" t="s">
        <v>61</v>
      </c>
      <c r="H1353">
        <v>4384</v>
      </c>
      <c r="M1353">
        <v>144</v>
      </c>
      <c r="N1353">
        <v>650</v>
      </c>
      <c r="O1353">
        <v>2E-3</v>
      </c>
      <c r="R1353">
        <f t="shared" si="42"/>
        <v>0</v>
      </c>
      <c r="S1353" s="3">
        <f t="shared" si="43"/>
        <v>0</v>
      </c>
    </row>
    <row r="1354" spans="1:19" x14ac:dyDescent="0.3">
      <c r="A1354" s="5">
        <v>45184</v>
      </c>
      <c r="B1354" t="s">
        <v>61</v>
      </c>
      <c r="H1354">
        <v>4384</v>
      </c>
      <c r="M1354">
        <v>144</v>
      </c>
      <c r="N1354">
        <v>650</v>
      </c>
      <c r="O1354">
        <v>2E-3</v>
      </c>
      <c r="R1354">
        <f t="shared" si="42"/>
        <v>0</v>
      </c>
      <c r="S1354" s="3">
        <f t="shared" si="43"/>
        <v>0</v>
      </c>
    </row>
    <row r="1355" spans="1:19" x14ac:dyDescent="0.3">
      <c r="A1355" s="5">
        <v>45185</v>
      </c>
      <c r="B1355" t="s">
        <v>61</v>
      </c>
      <c r="H1355">
        <v>4384</v>
      </c>
      <c r="M1355">
        <v>144</v>
      </c>
      <c r="N1355">
        <v>650</v>
      </c>
      <c r="O1355">
        <v>2E-3</v>
      </c>
      <c r="R1355">
        <f t="shared" si="42"/>
        <v>0</v>
      </c>
      <c r="S1355" s="3">
        <f t="shared" si="43"/>
        <v>0</v>
      </c>
    </row>
    <row r="1356" spans="1:19" x14ac:dyDescent="0.3">
      <c r="A1356" s="5">
        <v>45186</v>
      </c>
      <c r="B1356" t="s">
        <v>61</v>
      </c>
      <c r="H1356">
        <v>4384</v>
      </c>
      <c r="M1356">
        <v>144</v>
      </c>
      <c r="N1356">
        <v>650</v>
      </c>
      <c r="O1356">
        <v>2E-3</v>
      </c>
      <c r="R1356">
        <f t="shared" si="42"/>
        <v>0</v>
      </c>
      <c r="S1356" s="3">
        <f t="shared" si="43"/>
        <v>0</v>
      </c>
    </row>
    <row r="1357" spans="1:19" x14ac:dyDescent="0.3">
      <c r="A1357" s="5">
        <v>45187</v>
      </c>
      <c r="B1357" t="s">
        <v>61</v>
      </c>
      <c r="H1357">
        <v>4384</v>
      </c>
      <c r="M1357">
        <v>144</v>
      </c>
      <c r="N1357">
        <v>650</v>
      </c>
      <c r="O1357">
        <v>2E-3</v>
      </c>
      <c r="R1357">
        <f t="shared" si="42"/>
        <v>0</v>
      </c>
      <c r="S1357" s="3">
        <f t="shared" si="43"/>
        <v>0</v>
      </c>
    </row>
    <row r="1358" spans="1:19" x14ac:dyDescent="0.3">
      <c r="A1358" s="5">
        <v>45188</v>
      </c>
      <c r="B1358" t="s">
        <v>61</v>
      </c>
      <c r="H1358">
        <v>4384</v>
      </c>
      <c r="M1358">
        <v>144</v>
      </c>
      <c r="N1358">
        <v>650</v>
      </c>
      <c r="O1358">
        <v>2E-3</v>
      </c>
      <c r="R1358">
        <f t="shared" si="42"/>
        <v>0</v>
      </c>
      <c r="S1358" s="3">
        <f t="shared" si="43"/>
        <v>0</v>
      </c>
    </row>
    <row r="1359" spans="1:19" x14ac:dyDescent="0.3">
      <c r="A1359" s="5">
        <v>45189</v>
      </c>
      <c r="B1359" t="s">
        <v>61</v>
      </c>
      <c r="H1359">
        <v>4384</v>
      </c>
      <c r="M1359">
        <v>144</v>
      </c>
      <c r="N1359">
        <v>650</v>
      </c>
      <c r="O1359">
        <v>2E-3</v>
      </c>
      <c r="R1359">
        <f t="shared" si="42"/>
        <v>0</v>
      </c>
      <c r="S1359" s="3">
        <f t="shared" si="43"/>
        <v>0</v>
      </c>
    </row>
    <row r="1360" spans="1:19" x14ac:dyDescent="0.3">
      <c r="A1360" s="5">
        <v>45190</v>
      </c>
      <c r="B1360" t="s">
        <v>61</v>
      </c>
      <c r="H1360">
        <v>4384</v>
      </c>
      <c r="M1360">
        <v>144</v>
      </c>
      <c r="N1360">
        <v>650</v>
      </c>
      <c r="O1360">
        <v>2E-3</v>
      </c>
      <c r="R1360">
        <f t="shared" si="42"/>
        <v>0</v>
      </c>
      <c r="S1360" s="3">
        <f t="shared" si="43"/>
        <v>0</v>
      </c>
    </row>
    <row r="1361" spans="1:19" x14ac:dyDescent="0.3">
      <c r="A1361" s="5">
        <v>45191</v>
      </c>
      <c r="B1361" t="s">
        <v>61</v>
      </c>
      <c r="H1361">
        <v>4384</v>
      </c>
      <c r="M1361">
        <v>144</v>
      </c>
      <c r="N1361">
        <v>650</v>
      </c>
      <c r="O1361">
        <v>2E-3</v>
      </c>
      <c r="R1361">
        <f t="shared" si="42"/>
        <v>0</v>
      </c>
      <c r="S1361" s="3">
        <f t="shared" si="43"/>
        <v>0</v>
      </c>
    </row>
    <row r="1362" spans="1:19" x14ac:dyDescent="0.3">
      <c r="A1362" s="5">
        <v>45192</v>
      </c>
      <c r="B1362" t="s">
        <v>61</v>
      </c>
      <c r="H1362">
        <v>4384</v>
      </c>
      <c r="M1362">
        <v>144</v>
      </c>
      <c r="N1362">
        <v>650</v>
      </c>
      <c r="O1362">
        <v>2E-3</v>
      </c>
      <c r="R1362">
        <f t="shared" si="42"/>
        <v>0</v>
      </c>
      <c r="S1362" s="3">
        <f t="shared" si="43"/>
        <v>0</v>
      </c>
    </row>
    <row r="1363" spans="1:19" x14ac:dyDescent="0.3">
      <c r="A1363" s="5">
        <v>45193</v>
      </c>
      <c r="B1363" t="s">
        <v>61</v>
      </c>
      <c r="H1363">
        <v>4384</v>
      </c>
      <c r="M1363">
        <v>144</v>
      </c>
      <c r="N1363">
        <v>650</v>
      </c>
      <c r="O1363">
        <v>2E-3</v>
      </c>
      <c r="R1363">
        <f t="shared" si="42"/>
        <v>0</v>
      </c>
      <c r="S1363" s="3">
        <f t="shared" si="43"/>
        <v>0</v>
      </c>
    </row>
    <row r="1364" spans="1:19" x14ac:dyDescent="0.3">
      <c r="A1364" s="5">
        <v>45194</v>
      </c>
      <c r="B1364" t="s">
        <v>61</v>
      </c>
      <c r="H1364">
        <v>4384</v>
      </c>
      <c r="M1364">
        <v>144</v>
      </c>
      <c r="N1364">
        <v>650</v>
      </c>
      <c r="O1364">
        <v>2E-3</v>
      </c>
      <c r="R1364">
        <f t="shared" si="42"/>
        <v>0</v>
      </c>
      <c r="S1364" s="3">
        <f t="shared" si="43"/>
        <v>0</v>
      </c>
    </row>
    <row r="1365" spans="1:19" x14ac:dyDescent="0.3">
      <c r="A1365" s="5">
        <v>45195</v>
      </c>
      <c r="B1365" t="s">
        <v>61</v>
      </c>
      <c r="H1365">
        <v>4384</v>
      </c>
      <c r="M1365">
        <v>144</v>
      </c>
      <c r="N1365">
        <v>650</v>
      </c>
      <c r="O1365">
        <v>2E-3</v>
      </c>
      <c r="R1365">
        <f t="shared" si="42"/>
        <v>0</v>
      </c>
      <c r="S1365" s="3">
        <f t="shared" si="43"/>
        <v>0</v>
      </c>
    </row>
    <row r="1366" spans="1:19" x14ac:dyDescent="0.3">
      <c r="A1366" s="5">
        <v>45196</v>
      </c>
      <c r="B1366" t="s">
        <v>61</v>
      </c>
      <c r="H1366">
        <v>4384</v>
      </c>
      <c r="M1366">
        <v>144</v>
      </c>
      <c r="N1366">
        <v>650</v>
      </c>
      <c r="O1366">
        <v>2E-3</v>
      </c>
      <c r="R1366">
        <f t="shared" si="42"/>
        <v>0</v>
      </c>
      <c r="S1366" s="3">
        <f t="shared" si="43"/>
        <v>0</v>
      </c>
    </row>
    <row r="1367" spans="1:19" x14ac:dyDescent="0.3">
      <c r="A1367" s="5">
        <v>45197</v>
      </c>
      <c r="B1367" t="s">
        <v>61</v>
      </c>
      <c r="H1367">
        <v>4384</v>
      </c>
      <c r="M1367">
        <v>144</v>
      </c>
      <c r="N1367">
        <v>650</v>
      </c>
      <c r="O1367">
        <v>2E-3</v>
      </c>
      <c r="R1367">
        <f t="shared" si="42"/>
        <v>0</v>
      </c>
      <c r="S1367" s="3">
        <f t="shared" si="43"/>
        <v>0</v>
      </c>
    </row>
    <row r="1368" spans="1:19" x14ac:dyDescent="0.3">
      <c r="A1368" s="5">
        <v>45198</v>
      </c>
      <c r="B1368" t="s">
        <v>61</v>
      </c>
      <c r="H1368">
        <v>4384</v>
      </c>
      <c r="M1368">
        <v>144</v>
      </c>
      <c r="N1368">
        <v>650</v>
      </c>
      <c r="O1368">
        <v>2E-3</v>
      </c>
      <c r="R1368">
        <f t="shared" si="42"/>
        <v>0</v>
      </c>
      <c r="S1368" s="3">
        <f t="shared" si="43"/>
        <v>0</v>
      </c>
    </row>
    <row r="1369" spans="1:19" x14ac:dyDescent="0.3">
      <c r="A1369" s="5">
        <v>45199</v>
      </c>
      <c r="B1369" t="s">
        <v>61</v>
      </c>
      <c r="H1369">
        <v>4384</v>
      </c>
      <c r="M1369">
        <v>144</v>
      </c>
      <c r="N1369">
        <v>650</v>
      </c>
      <c r="O1369">
        <v>2E-3</v>
      </c>
      <c r="R1369">
        <f t="shared" si="42"/>
        <v>0</v>
      </c>
      <c r="S1369" s="3">
        <f t="shared" si="43"/>
        <v>0</v>
      </c>
    </row>
    <row r="1370" spans="1:19" x14ac:dyDescent="0.3">
      <c r="A1370" s="5">
        <v>45200</v>
      </c>
      <c r="B1370" t="s">
        <v>61</v>
      </c>
      <c r="H1370">
        <v>4384</v>
      </c>
      <c r="M1370">
        <v>144</v>
      </c>
      <c r="N1370">
        <v>650</v>
      </c>
      <c r="O1370">
        <v>2E-3</v>
      </c>
      <c r="R1370">
        <f t="shared" si="42"/>
        <v>0</v>
      </c>
      <c r="S1370" s="3">
        <f t="shared" si="43"/>
        <v>0</v>
      </c>
    </row>
    <row r="1371" spans="1:19" x14ac:dyDescent="0.3">
      <c r="A1371" s="5">
        <v>45201</v>
      </c>
      <c r="B1371" t="s">
        <v>61</v>
      </c>
      <c r="H1371">
        <v>4384</v>
      </c>
      <c r="M1371">
        <v>144</v>
      </c>
      <c r="N1371">
        <v>650</v>
      </c>
      <c r="O1371">
        <v>2E-3</v>
      </c>
      <c r="R1371">
        <f t="shared" si="42"/>
        <v>0</v>
      </c>
      <c r="S1371" s="3">
        <f t="shared" si="43"/>
        <v>0</v>
      </c>
    </row>
    <row r="1372" spans="1:19" x14ac:dyDescent="0.3">
      <c r="A1372" s="5">
        <v>45202</v>
      </c>
      <c r="B1372" t="s">
        <v>61</v>
      </c>
      <c r="H1372">
        <v>4384</v>
      </c>
      <c r="M1372">
        <v>144</v>
      </c>
      <c r="N1372">
        <v>650</v>
      </c>
      <c r="O1372">
        <v>2E-3</v>
      </c>
      <c r="R1372">
        <f t="shared" si="42"/>
        <v>0</v>
      </c>
      <c r="S1372" s="3">
        <f t="shared" si="43"/>
        <v>0</v>
      </c>
    </row>
    <row r="1373" spans="1:19" x14ac:dyDescent="0.3">
      <c r="A1373" s="5">
        <v>45203</v>
      </c>
      <c r="B1373" t="s">
        <v>61</v>
      </c>
      <c r="H1373">
        <v>4384</v>
      </c>
      <c r="M1373">
        <v>144</v>
      </c>
      <c r="N1373">
        <v>650</v>
      </c>
      <c r="O1373">
        <v>2E-3</v>
      </c>
      <c r="R1373">
        <f t="shared" si="42"/>
        <v>0</v>
      </c>
      <c r="S1373" s="3">
        <f t="shared" si="43"/>
        <v>0</v>
      </c>
    </row>
    <row r="1374" spans="1:19" x14ac:dyDescent="0.3">
      <c r="A1374" s="5">
        <v>45204</v>
      </c>
      <c r="B1374" t="s">
        <v>61</v>
      </c>
      <c r="H1374">
        <v>4384</v>
      </c>
      <c r="M1374">
        <v>144</v>
      </c>
      <c r="N1374">
        <v>650</v>
      </c>
      <c r="O1374">
        <v>2E-3</v>
      </c>
      <c r="R1374">
        <f t="shared" si="42"/>
        <v>0</v>
      </c>
      <c r="S1374" s="3">
        <f t="shared" si="43"/>
        <v>0</v>
      </c>
    </row>
    <row r="1375" spans="1:19" x14ac:dyDescent="0.3">
      <c r="A1375" s="5">
        <v>45205</v>
      </c>
      <c r="B1375" t="s">
        <v>61</v>
      </c>
      <c r="H1375">
        <v>4384</v>
      </c>
      <c r="M1375">
        <v>144</v>
      </c>
      <c r="N1375">
        <v>650</v>
      </c>
      <c r="O1375">
        <v>2E-3</v>
      </c>
      <c r="R1375">
        <f t="shared" si="42"/>
        <v>0</v>
      </c>
      <c r="S1375" s="3">
        <f t="shared" si="43"/>
        <v>0</v>
      </c>
    </row>
    <row r="1376" spans="1:19" x14ac:dyDescent="0.3">
      <c r="A1376" s="5">
        <v>45206</v>
      </c>
      <c r="B1376" t="s">
        <v>61</v>
      </c>
      <c r="H1376">
        <v>4384</v>
      </c>
      <c r="M1376">
        <v>144</v>
      </c>
      <c r="N1376">
        <v>650</v>
      </c>
      <c r="O1376">
        <v>2E-3</v>
      </c>
      <c r="R1376">
        <f t="shared" si="42"/>
        <v>0</v>
      </c>
      <c r="S1376" s="3">
        <f t="shared" si="43"/>
        <v>0</v>
      </c>
    </row>
    <row r="1377" spans="1:19" x14ac:dyDescent="0.3">
      <c r="A1377" s="5">
        <v>45207</v>
      </c>
      <c r="B1377" t="s">
        <v>61</v>
      </c>
      <c r="H1377">
        <v>4384</v>
      </c>
      <c r="M1377">
        <v>144</v>
      </c>
      <c r="N1377">
        <v>650</v>
      </c>
      <c r="O1377">
        <v>2E-3</v>
      </c>
      <c r="R1377">
        <f t="shared" si="42"/>
        <v>0</v>
      </c>
      <c r="S1377" s="3">
        <f t="shared" si="43"/>
        <v>0</v>
      </c>
    </row>
    <row r="1378" spans="1:19" x14ac:dyDescent="0.3">
      <c r="A1378" s="5">
        <v>45208</v>
      </c>
      <c r="B1378" t="s">
        <v>61</v>
      </c>
      <c r="H1378">
        <v>4384</v>
      </c>
      <c r="M1378">
        <v>144</v>
      </c>
      <c r="N1378">
        <v>650</v>
      </c>
      <c r="O1378">
        <v>2E-3</v>
      </c>
      <c r="R1378">
        <f t="shared" si="42"/>
        <v>0</v>
      </c>
      <c r="S1378" s="3">
        <f t="shared" si="43"/>
        <v>0</v>
      </c>
    </row>
    <row r="1379" spans="1:19" x14ac:dyDescent="0.3">
      <c r="A1379" s="5">
        <v>45209</v>
      </c>
      <c r="B1379" t="s">
        <v>61</v>
      </c>
      <c r="H1379">
        <v>4384</v>
      </c>
      <c r="M1379">
        <v>144</v>
      </c>
      <c r="N1379">
        <v>650</v>
      </c>
      <c r="O1379">
        <v>2E-3</v>
      </c>
      <c r="R1379">
        <f t="shared" si="42"/>
        <v>0</v>
      </c>
      <c r="S1379" s="3">
        <f t="shared" si="43"/>
        <v>0</v>
      </c>
    </row>
    <row r="1380" spans="1:19" x14ac:dyDescent="0.3">
      <c r="A1380" s="5">
        <v>45210</v>
      </c>
      <c r="B1380" t="s">
        <v>61</v>
      </c>
      <c r="H1380">
        <v>4384</v>
      </c>
      <c r="M1380">
        <v>144</v>
      </c>
      <c r="N1380">
        <v>650</v>
      </c>
      <c r="O1380">
        <v>2E-3</v>
      </c>
      <c r="R1380">
        <f t="shared" si="42"/>
        <v>0</v>
      </c>
      <c r="S1380" s="3">
        <f t="shared" si="43"/>
        <v>0</v>
      </c>
    </row>
    <row r="1381" spans="1:19" x14ac:dyDescent="0.3">
      <c r="A1381" s="5">
        <v>45211</v>
      </c>
      <c r="B1381" t="s">
        <v>61</v>
      </c>
      <c r="H1381">
        <v>4384</v>
      </c>
      <c r="M1381">
        <v>144</v>
      </c>
      <c r="N1381">
        <v>650</v>
      </c>
      <c r="O1381">
        <v>2E-3</v>
      </c>
      <c r="R1381">
        <f t="shared" si="42"/>
        <v>0</v>
      </c>
      <c r="S1381" s="3">
        <f t="shared" si="43"/>
        <v>0</v>
      </c>
    </row>
    <row r="1382" spans="1:19" x14ac:dyDescent="0.3">
      <c r="A1382" s="5">
        <v>45212</v>
      </c>
      <c r="B1382" t="s">
        <v>61</v>
      </c>
      <c r="H1382">
        <v>4384</v>
      </c>
      <c r="M1382">
        <v>144</v>
      </c>
      <c r="N1382">
        <v>650</v>
      </c>
      <c r="O1382">
        <v>2E-3</v>
      </c>
      <c r="R1382">
        <f t="shared" si="42"/>
        <v>0</v>
      </c>
      <c r="S1382" s="3">
        <f t="shared" si="43"/>
        <v>0</v>
      </c>
    </row>
    <row r="1383" spans="1:19" x14ac:dyDescent="0.3">
      <c r="A1383" s="5">
        <v>45213</v>
      </c>
      <c r="B1383" t="s">
        <v>61</v>
      </c>
      <c r="H1383">
        <v>4384</v>
      </c>
      <c r="M1383">
        <v>144</v>
      </c>
      <c r="N1383">
        <v>650</v>
      </c>
      <c r="O1383">
        <v>2E-3</v>
      </c>
      <c r="R1383">
        <f t="shared" si="42"/>
        <v>0</v>
      </c>
      <c r="S1383" s="3">
        <f t="shared" si="43"/>
        <v>0</v>
      </c>
    </row>
    <row r="1384" spans="1:19" x14ac:dyDescent="0.3">
      <c r="A1384" s="5">
        <v>45214</v>
      </c>
      <c r="B1384" t="s">
        <v>61</v>
      </c>
      <c r="H1384">
        <v>4384</v>
      </c>
      <c r="M1384">
        <v>144</v>
      </c>
      <c r="N1384">
        <v>650</v>
      </c>
      <c r="O1384">
        <v>2E-3</v>
      </c>
      <c r="R1384">
        <f t="shared" si="42"/>
        <v>0</v>
      </c>
      <c r="S1384" s="3">
        <f t="shared" si="43"/>
        <v>0</v>
      </c>
    </row>
    <row r="1385" spans="1:19" x14ac:dyDescent="0.3">
      <c r="A1385" s="5">
        <v>45215</v>
      </c>
      <c r="B1385" t="s">
        <v>61</v>
      </c>
      <c r="H1385">
        <v>4384</v>
      </c>
      <c r="M1385">
        <v>144</v>
      </c>
      <c r="N1385">
        <v>650</v>
      </c>
      <c r="O1385">
        <v>2E-3</v>
      </c>
      <c r="R1385">
        <f t="shared" si="42"/>
        <v>0</v>
      </c>
      <c r="S1385" s="3">
        <f t="shared" si="43"/>
        <v>0</v>
      </c>
    </row>
    <row r="1386" spans="1:19" x14ac:dyDescent="0.3">
      <c r="A1386" s="5">
        <v>45216</v>
      </c>
      <c r="B1386" t="s">
        <v>61</v>
      </c>
      <c r="C1386">
        <v>62608595</v>
      </c>
      <c r="D1386">
        <v>27882327</v>
      </c>
      <c r="E1386">
        <v>24469977</v>
      </c>
      <c r="F1386">
        <v>10256291</v>
      </c>
      <c r="H1386">
        <v>4384</v>
      </c>
      <c r="I1386">
        <v>204.95</v>
      </c>
      <c r="J1386">
        <v>91.28</v>
      </c>
      <c r="K1386">
        <v>80.099999999999994</v>
      </c>
      <c r="L1386">
        <v>33.57</v>
      </c>
      <c r="M1386">
        <v>144</v>
      </c>
      <c r="N1386">
        <v>650</v>
      </c>
      <c r="O1386">
        <v>2E-3</v>
      </c>
      <c r="R1386">
        <f t="shared" si="42"/>
        <v>11.180000000000007</v>
      </c>
      <c r="S1386" s="3">
        <f t="shared" si="43"/>
        <v>0.8569</v>
      </c>
    </row>
    <row r="1387" spans="1:19" x14ac:dyDescent="0.3">
      <c r="A1387" s="5">
        <v>45217</v>
      </c>
      <c r="B1387" t="s">
        <v>61</v>
      </c>
      <c r="H1387">
        <v>3831</v>
      </c>
      <c r="M1387">
        <v>125</v>
      </c>
      <c r="N1387">
        <v>561</v>
      </c>
      <c r="O1387">
        <v>2E-3</v>
      </c>
      <c r="R1387">
        <f t="shared" si="42"/>
        <v>0</v>
      </c>
      <c r="S1387" s="3">
        <f t="shared" si="43"/>
        <v>0</v>
      </c>
    </row>
    <row r="1388" spans="1:19" x14ac:dyDescent="0.3">
      <c r="A1388" s="5">
        <v>45218</v>
      </c>
      <c r="B1388" t="s">
        <v>61</v>
      </c>
      <c r="H1388">
        <v>3278</v>
      </c>
      <c r="M1388">
        <v>107</v>
      </c>
      <c r="N1388">
        <v>471</v>
      </c>
      <c r="O1388">
        <v>2E-3</v>
      </c>
      <c r="R1388">
        <f t="shared" si="42"/>
        <v>0</v>
      </c>
      <c r="S1388" s="3">
        <f t="shared" si="43"/>
        <v>0</v>
      </c>
    </row>
    <row r="1389" spans="1:19" x14ac:dyDescent="0.3">
      <c r="A1389" s="5">
        <v>45219</v>
      </c>
      <c r="B1389" t="s">
        <v>61</v>
      </c>
      <c r="H1389">
        <v>2725</v>
      </c>
      <c r="M1389">
        <v>89</v>
      </c>
      <c r="N1389">
        <v>382</v>
      </c>
      <c r="O1389">
        <v>1E-3</v>
      </c>
      <c r="R1389">
        <f t="shared" si="42"/>
        <v>0</v>
      </c>
      <c r="S1389" s="3">
        <f t="shared" si="43"/>
        <v>0</v>
      </c>
    </row>
    <row r="1390" spans="1:19" x14ac:dyDescent="0.3">
      <c r="A1390" s="5">
        <v>45220</v>
      </c>
      <c r="B1390" t="s">
        <v>61</v>
      </c>
      <c r="H1390">
        <v>2173</v>
      </c>
      <c r="M1390">
        <v>71</v>
      </c>
      <c r="N1390">
        <v>292</v>
      </c>
      <c r="O1390">
        <v>1E-3</v>
      </c>
      <c r="R1390">
        <f t="shared" si="42"/>
        <v>0</v>
      </c>
      <c r="S1390" s="3">
        <f t="shared" si="43"/>
        <v>0</v>
      </c>
    </row>
    <row r="1391" spans="1:19" x14ac:dyDescent="0.3">
      <c r="A1391" s="5">
        <v>45221</v>
      </c>
      <c r="B1391" t="s">
        <v>61</v>
      </c>
      <c r="H1391">
        <v>1620</v>
      </c>
      <c r="M1391">
        <v>53</v>
      </c>
      <c r="N1391">
        <v>203</v>
      </c>
      <c r="O1391">
        <v>1E-3</v>
      </c>
      <c r="R1391">
        <f t="shared" si="42"/>
        <v>0</v>
      </c>
      <c r="S1391" s="3">
        <f t="shared" si="43"/>
        <v>0</v>
      </c>
    </row>
    <row r="1392" spans="1:19" x14ac:dyDescent="0.3">
      <c r="A1392" s="5">
        <v>45222</v>
      </c>
      <c r="B1392" t="s">
        <v>61</v>
      </c>
      <c r="H1392">
        <v>1067</v>
      </c>
      <c r="M1392">
        <v>35</v>
      </c>
      <c r="N1392">
        <v>113</v>
      </c>
      <c r="O1392">
        <v>0</v>
      </c>
      <c r="R1392">
        <f t="shared" si="42"/>
        <v>0</v>
      </c>
      <c r="S1392" s="3">
        <f t="shared" si="43"/>
        <v>0</v>
      </c>
    </row>
    <row r="1393" spans="1:19" x14ac:dyDescent="0.3">
      <c r="A1393" s="5">
        <v>45223</v>
      </c>
      <c r="B1393" t="s">
        <v>61</v>
      </c>
      <c r="H1393">
        <v>514</v>
      </c>
      <c r="M1393">
        <v>17</v>
      </c>
      <c r="N1393">
        <v>23</v>
      </c>
      <c r="O1393">
        <v>0</v>
      </c>
      <c r="R1393">
        <f t="shared" si="42"/>
        <v>0</v>
      </c>
      <c r="S1393" s="3">
        <f t="shared" si="43"/>
        <v>0</v>
      </c>
    </row>
    <row r="1394" spans="1:19" x14ac:dyDescent="0.3">
      <c r="A1394" s="5">
        <v>45224</v>
      </c>
      <c r="B1394" t="s">
        <v>61</v>
      </c>
      <c r="H1394">
        <v>514</v>
      </c>
      <c r="M1394">
        <v>17</v>
      </c>
      <c r="N1394">
        <v>23</v>
      </c>
      <c r="O1394">
        <v>0</v>
      </c>
      <c r="R1394">
        <f t="shared" si="42"/>
        <v>0</v>
      </c>
      <c r="S1394" s="3">
        <f t="shared" si="43"/>
        <v>0</v>
      </c>
    </row>
    <row r="1395" spans="1:19" x14ac:dyDescent="0.3">
      <c r="A1395" s="5">
        <v>45225</v>
      </c>
      <c r="B1395" t="s">
        <v>61</v>
      </c>
      <c r="H1395">
        <v>514</v>
      </c>
      <c r="M1395">
        <v>17</v>
      </c>
      <c r="N1395">
        <v>23</v>
      </c>
      <c r="O1395">
        <v>0</v>
      </c>
      <c r="R1395">
        <f t="shared" si="42"/>
        <v>0</v>
      </c>
      <c r="S1395" s="3">
        <f t="shared" si="43"/>
        <v>0</v>
      </c>
    </row>
    <row r="1396" spans="1:19" x14ac:dyDescent="0.3">
      <c r="A1396" s="5">
        <v>45226</v>
      </c>
      <c r="B1396" t="s">
        <v>61</v>
      </c>
      <c r="H1396">
        <v>514</v>
      </c>
      <c r="M1396">
        <v>17</v>
      </c>
      <c r="N1396">
        <v>23</v>
      </c>
      <c r="O1396">
        <v>0</v>
      </c>
      <c r="R1396">
        <f t="shared" si="42"/>
        <v>0</v>
      </c>
      <c r="S1396" s="3">
        <f t="shared" si="43"/>
        <v>0</v>
      </c>
    </row>
    <row r="1397" spans="1:19" x14ac:dyDescent="0.3">
      <c r="A1397" s="5">
        <v>45227</v>
      </c>
      <c r="B1397" t="s">
        <v>61</v>
      </c>
      <c r="H1397">
        <v>514</v>
      </c>
      <c r="M1397">
        <v>17</v>
      </c>
      <c r="N1397">
        <v>23</v>
      </c>
      <c r="O1397">
        <v>0</v>
      </c>
      <c r="R1397">
        <f t="shared" si="42"/>
        <v>0</v>
      </c>
      <c r="S1397" s="3">
        <f t="shared" si="43"/>
        <v>0</v>
      </c>
    </row>
    <row r="1398" spans="1:19" x14ac:dyDescent="0.3">
      <c r="A1398" s="5">
        <v>45228</v>
      </c>
      <c r="B1398" t="s">
        <v>61</v>
      </c>
      <c r="H1398">
        <v>514</v>
      </c>
      <c r="M1398">
        <v>17</v>
      </c>
      <c r="N1398">
        <v>23</v>
      </c>
      <c r="O1398">
        <v>0</v>
      </c>
      <c r="R1398">
        <f t="shared" si="42"/>
        <v>0</v>
      </c>
      <c r="S1398" s="3">
        <f t="shared" si="43"/>
        <v>0</v>
      </c>
    </row>
    <row r="1399" spans="1:19" x14ac:dyDescent="0.3">
      <c r="A1399" s="5">
        <v>45229</v>
      </c>
      <c r="B1399" t="s">
        <v>61</v>
      </c>
      <c r="H1399">
        <v>514</v>
      </c>
      <c r="M1399">
        <v>17</v>
      </c>
      <c r="N1399">
        <v>23</v>
      </c>
      <c r="O1399">
        <v>0</v>
      </c>
      <c r="R1399">
        <f t="shared" si="42"/>
        <v>0</v>
      </c>
      <c r="S1399" s="3">
        <f t="shared" si="43"/>
        <v>0</v>
      </c>
    </row>
    <row r="1400" spans="1:19" x14ac:dyDescent="0.3">
      <c r="A1400" s="5">
        <v>45230</v>
      </c>
      <c r="B1400" t="s">
        <v>61</v>
      </c>
      <c r="H1400">
        <v>514</v>
      </c>
      <c r="M1400">
        <v>17</v>
      </c>
      <c r="N1400">
        <v>23</v>
      </c>
      <c r="O1400">
        <v>0</v>
      </c>
      <c r="R1400">
        <f t="shared" si="42"/>
        <v>0</v>
      </c>
      <c r="S1400" s="3">
        <f t="shared" si="43"/>
        <v>0</v>
      </c>
    </row>
    <row r="1401" spans="1:19" x14ac:dyDescent="0.3">
      <c r="A1401" s="5">
        <v>45231</v>
      </c>
      <c r="B1401" t="s">
        <v>61</v>
      </c>
      <c r="H1401">
        <v>514</v>
      </c>
      <c r="M1401">
        <v>17</v>
      </c>
      <c r="N1401">
        <v>23</v>
      </c>
      <c r="O1401">
        <v>0</v>
      </c>
      <c r="R1401">
        <f t="shared" si="42"/>
        <v>0</v>
      </c>
      <c r="S1401" s="3">
        <f t="shared" si="43"/>
        <v>0</v>
      </c>
    </row>
    <row r="1402" spans="1:19" x14ac:dyDescent="0.3">
      <c r="A1402" s="5">
        <v>45232</v>
      </c>
      <c r="B1402" t="s">
        <v>61</v>
      </c>
      <c r="H1402">
        <v>514</v>
      </c>
      <c r="M1402">
        <v>17</v>
      </c>
      <c r="N1402">
        <v>23</v>
      </c>
      <c r="O1402">
        <v>0</v>
      </c>
      <c r="R1402">
        <f t="shared" si="42"/>
        <v>0</v>
      </c>
      <c r="S1402" s="3">
        <f t="shared" si="43"/>
        <v>0</v>
      </c>
    </row>
    <row r="1403" spans="1:19" x14ac:dyDescent="0.3">
      <c r="A1403" s="5">
        <v>45233</v>
      </c>
      <c r="B1403" t="s">
        <v>61</v>
      </c>
      <c r="H1403">
        <v>514</v>
      </c>
      <c r="M1403">
        <v>17</v>
      </c>
      <c r="N1403">
        <v>23</v>
      </c>
      <c r="O1403">
        <v>0</v>
      </c>
      <c r="R1403">
        <f t="shared" si="42"/>
        <v>0</v>
      </c>
      <c r="S1403" s="3">
        <f t="shared" si="43"/>
        <v>0</v>
      </c>
    </row>
    <row r="1404" spans="1:19" x14ac:dyDescent="0.3">
      <c r="A1404" s="5">
        <v>45234</v>
      </c>
      <c r="B1404" t="s">
        <v>61</v>
      </c>
      <c r="H1404">
        <v>514</v>
      </c>
      <c r="M1404">
        <v>17</v>
      </c>
      <c r="N1404">
        <v>23</v>
      </c>
      <c r="O1404">
        <v>0</v>
      </c>
      <c r="R1404">
        <f t="shared" si="42"/>
        <v>0</v>
      </c>
      <c r="S1404" s="3">
        <f t="shared" si="43"/>
        <v>0</v>
      </c>
    </row>
    <row r="1405" spans="1:19" x14ac:dyDescent="0.3">
      <c r="A1405" s="5">
        <v>45235</v>
      </c>
      <c r="B1405" t="s">
        <v>61</v>
      </c>
      <c r="H1405">
        <v>514</v>
      </c>
      <c r="M1405">
        <v>17</v>
      </c>
      <c r="N1405">
        <v>23</v>
      </c>
      <c r="O1405">
        <v>0</v>
      </c>
      <c r="R1405">
        <f t="shared" si="42"/>
        <v>0</v>
      </c>
      <c r="S1405" s="3">
        <f t="shared" si="43"/>
        <v>0</v>
      </c>
    </row>
    <row r="1406" spans="1:19" x14ac:dyDescent="0.3">
      <c r="A1406" s="5">
        <v>45236</v>
      </c>
      <c r="B1406" t="s">
        <v>61</v>
      </c>
      <c r="H1406">
        <v>514</v>
      </c>
      <c r="M1406">
        <v>17</v>
      </c>
      <c r="N1406">
        <v>23</v>
      </c>
      <c r="O1406">
        <v>0</v>
      </c>
      <c r="R1406">
        <f t="shared" si="42"/>
        <v>0</v>
      </c>
      <c r="S1406" s="3">
        <f t="shared" si="43"/>
        <v>0</v>
      </c>
    </row>
    <row r="1407" spans="1:19" x14ac:dyDescent="0.3">
      <c r="A1407" s="5">
        <v>45237</v>
      </c>
      <c r="B1407" t="s">
        <v>61</v>
      </c>
      <c r="H1407">
        <v>514</v>
      </c>
      <c r="M1407">
        <v>17</v>
      </c>
      <c r="N1407">
        <v>23</v>
      </c>
      <c r="O1407">
        <v>0</v>
      </c>
      <c r="R1407">
        <f t="shared" si="42"/>
        <v>0</v>
      </c>
      <c r="S1407" s="3">
        <f t="shared" si="43"/>
        <v>0</v>
      </c>
    </row>
    <row r="1408" spans="1:19" x14ac:dyDescent="0.3">
      <c r="A1408" s="5">
        <v>45238</v>
      </c>
      <c r="B1408" t="s">
        <v>61</v>
      </c>
      <c r="H1408">
        <v>514</v>
      </c>
      <c r="M1408">
        <v>17</v>
      </c>
      <c r="N1408">
        <v>23</v>
      </c>
      <c r="O1408">
        <v>0</v>
      </c>
      <c r="R1408">
        <f t="shared" si="42"/>
        <v>0</v>
      </c>
      <c r="S1408" s="3">
        <f t="shared" si="43"/>
        <v>0</v>
      </c>
    </row>
    <row r="1409" spans="1:19" x14ac:dyDescent="0.3">
      <c r="A1409" s="5">
        <v>45239</v>
      </c>
      <c r="B1409" t="s">
        <v>61</v>
      </c>
      <c r="H1409">
        <v>514</v>
      </c>
      <c r="M1409">
        <v>17</v>
      </c>
      <c r="N1409">
        <v>23</v>
      </c>
      <c r="O1409">
        <v>0</v>
      </c>
      <c r="R1409">
        <f t="shared" si="42"/>
        <v>0</v>
      </c>
      <c r="S1409" s="3">
        <f t="shared" si="43"/>
        <v>0</v>
      </c>
    </row>
    <row r="1410" spans="1:19" x14ac:dyDescent="0.3">
      <c r="A1410" s="5">
        <v>45240</v>
      </c>
      <c r="B1410" t="s">
        <v>61</v>
      </c>
      <c r="H1410">
        <v>514</v>
      </c>
      <c r="M1410">
        <v>17</v>
      </c>
      <c r="N1410">
        <v>23</v>
      </c>
      <c r="O1410">
        <v>0</v>
      </c>
      <c r="R1410">
        <f t="shared" si="42"/>
        <v>0</v>
      </c>
      <c r="S1410" s="3">
        <f t="shared" si="43"/>
        <v>0</v>
      </c>
    </row>
    <row r="1411" spans="1:19" x14ac:dyDescent="0.3">
      <c r="A1411" s="5">
        <v>45241</v>
      </c>
      <c r="B1411" t="s">
        <v>61</v>
      </c>
      <c r="H1411">
        <v>514</v>
      </c>
      <c r="M1411">
        <v>17</v>
      </c>
      <c r="N1411">
        <v>23</v>
      </c>
      <c r="O1411">
        <v>0</v>
      </c>
      <c r="R1411">
        <f t="shared" si="42"/>
        <v>0</v>
      </c>
      <c r="S1411" s="3">
        <f t="shared" si="43"/>
        <v>0</v>
      </c>
    </row>
    <row r="1412" spans="1:19" x14ac:dyDescent="0.3">
      <c r="A1412" s="5">
        <v>45242</v>
      </c>
      <c r="B1412" t="s">
        <v>61</v>
      </c>
      <c r="H1412">
        <v>514</v>
      </c>
      <c r="M1412">
        <v>17</v>
      </c>
      <c r="N1412">
        <v>23</v>
      </c>
      <c r="O1412">
        <v>0</v>
      </c>
      <c r="R1412">
        <f t="shared" si="42"/>
        <v>0</v>
      </c>
      <c r="S1412" s="3">
        <f t="shared" si="43"/>
        <v>0</v>
      </c>
    </row>
    <row r="1413" spans="1:19" x14ac:dyDescent="0.3">
      <c r="A1413" s="5">
        <v>45243</v>
      </c>
      <c r="B1413" t="s">
        <v>61</v>
      </c>
      <c r="H1413">
        <v>514</v>
      </c>
      <c r="M1413">
        <v>17</v>
      </c>
      <c r="N1413">
        <v>23</v>
      </c>
      <c r="O1413">
        <v>0</v>
      </c>
      <c r="R1413">
        <f t="shared" si="42"/>
        <v>0</v>
      </c>
      <c r="S1413" s="3">
        <f t="shared" si="43"/>
        <v>0</v>
      </c>
    </row>
    <row r="1414" spans="1:19" x14ac:dyDescent="0.3">
      <c r="A1414" s="5">
        <v>45244</v>
      </c>
      <c r="B1414" t="s">
        <v>61</v>
      </c>
      <c r="H1414">
        <v>514</v>
      </c>
      <c r="M1414">
        <v>17</v>
      </c>
      <c r="N1414">
        <v>23</v>
      </c>
      <c r="O1414">
        <v>0</v>
      </c>
      <c r="R1414">
        <f t="shared" ref="R1414:R1423" si="44">J1414-K1414</f>
        <v>0</v>
      </c>
      <c r="S1414" s="3">
        <f t="shared" ref="S1414:S1423" si="45">MIN(1, (0.5*MAX(R1414,0) + 1*K1414)/100 )</f>
        <v>0</v>
      </c>
    </row>
    <row r="1415" spans="1:19" x14ac:dyDescent="0.3">
      <c r="A1415" s="5">
        <v>45245</v>
      </c>
      <c r="B1415" t="s">
        <v>61</v>
      </c>
      <c r="H1415">
        <v>514</v>
      </c>
      <c r="M1415">
        <v>17</v>
      </c>
      <c r="N1415">
        <v>23</v>
      </c>
      <c r="O1415">
        <v>0</v>
      </c>
      <c r="R1415">
        <f t="shared" si="44"/>
        <v>0</v>
      </c>
      <c r="S1415" s="3">
        <f t="shared" si="45"/>
        <v>0</v>
      </c>
    </row>
    <row r="1416" spans="1:19" x14ac:dyDescent="0.3">
      <c r="A1416" s="5">
        <v>45246</v>
      </c>
      <c r="B1416" t="s">
        <v>61</v>
      </c>
      <c r="H1416">
        <v>514</v>
      </c>
      <c r="M1416">
        <v>17</v>
      </c>
      <c r="N1416">
        <v>23</v>
      </c>
      <c r="O1416">
        <v>0</v>
      </c>
      <c r="R1416">
        <f t="shared" si="44"/>
        <v>0</v>
      </c>
      <c r="S1416" s="3">
        <f t="shared" si="45"/>
        <v>0</v>
      </c>
    </row>
    <row r="1417" spans="1:19" x14ac:dyDescent="0.3">
      <c r="A1417" s="5">
        <v>45247</v>
      </c>
      <c r="B1417" t="s">
        <v>61</v>
      </c>
      <c r="H1417">
        <v>514</v>
      </c>
      <c r="M1417">
        <v>17</v>
      </c>
      <c r="N1417">
        <v>23</v>
      </c>
      <c r="O1417">
        <v>0</v>
      </c>
      <c r="R1417">
        <f t="shared" si="44"/>
        <v>0</v>
      </c>
      <c r="S1417" s="3">
        <f t="shared" si="45"/>
        <v>0</v>
      </c>
    </row>
    <row r="1418" spans="1:19" x14ac:dyDescent="0.3">
      <c r="A1418" s="5">
        <v>45248</v>
      </c>
      <c r="B1418" t="s">
        <v>61</v>
      </c>
      <c r="H1418">
        <v>514</v>
      </c>
      <c r="M1418">
        <v>17</v>
      </c>
      <c r="N1418">
        <v>23</v>
      </c>
      <c r="O1418">
        <v>0</v>
      </c>
      <c r="R1418">
        <f t="shared" si="44"/>
        <v>0</v>
      </c>
      <c r="S1418" s="3">
        <f t="shared" si="45"/>
        <v>0</v>
      </c>
    </row>
    <row r="1419" spans="1:19" x14ac:dyDescent="0.3">
      <c r="A1419" s="5">
        <v>45249</v>
      </c>
      <c r="B1419" t="s">
        <v>61</v>
      </c>
      <c r="H1419">
        <v>514</v>
      </c>
      <c r="M1419">
        <v>17</v>
      </c>
      <c r="N1419">
        <v>23</v>
      </c>
      <c r="O1419">
        <v>0</v>
      </c>
      <c r="R1419">
        <f t="shared" si="44"/>
        <v>0</v>
      </c>
      <c r="S1419" s="3">
        <f t="shared" si="45"/>
        <v>0</v>
      </c>
    </row>
    <row r="1420" spans="1:19" x14ac:dyDescent="0.3">
      <c r="A1420" s="5">
        <v>45250</v>
      </c>
      <c r="B1420" t="s">
        <v>61</v>
      </c>
      <c r="H1420">
        <v>514</v>
      </c>
      <c r="M1420">
        <v>17</v>
      </c>
      <c r="N1420">
        <v>23</v>
      </c>
      <c r="O1420">
        <v>0</v>
      </c>
      <c r="R1420">
        <f t="shared" si="44"/>
        <v>0</v>
      </c>
      <c r="S1420" s="3">
        <f t="shared" si="45"/>
        <v>0</v>
      </c>
    </row>
    <row r="1421" spans="1:19" x14ac:dyDescent="0.3">
      <c r="A1421" s="5">
        <v>45251</v>
      </c>
      <c r="B1421" t="s">
        <v>61</v>
      </c>
      <c r="H1421">
        <v>514</v>
      </c>
      <c r="M1421">
        <v>17</v>
      </c>
      <c r="N1421">
        <v>23</v>
      </c>
      <c r="O1421">
        <v>0</v>
      </c>
      <c r="R1421">
        <f t="shared" si="44"/>
        <v>0</v>
      </c>
      <c r="S1421" s="3">
        <f t="shared" si="45"/>
        <v>0</v>
      </c>
    </row>
    <row r="1422" spans="1:19" x14ac:dyDescent="0.3">
      <c r="A1422" s="5">
        <v>45252</v>
      </c>
      <c r="B1422" t="s">
        <v>61</v>
      </c>
      <c r="H1422">
        <v>514</v>
      </c>
      <c r="M1422">
        <v>17</v>
      </c>
      <c r="N1422">
        <v>23</v>
      </c>
      <c r="O1422">
        <v>0</v>
      </c>
      <c r="R1422">
        <f t="shared" si="44"/>
        <v>0</v>
      </c>
      <c r="S1422" s="3">
        <f t="shared" si="45"/>
        <v>0</v>
      </c>
    </row>
    <row r="1423" spans="1:19" x14ac:dyDescent="0.3">
      <c r="A1423" s="5">
        <v>45253</v>
      </c>
      <c r="B1423" t="s">
        <v>61</v>
      </c>
      <c r="C1423">
        <v>62627629</v>
      </c>
      <c r="D1423">
        <v>27883196</v>
      </c>
      <c r="E1423">
        <v>24471043</v>
      </c>
      <c r="F1423">
        <v>10273390</v>
      </c>
      <c r="H1423">
        <v>514</v>
      </c>
      <c r="I1423">
        <v>205.02</v>
      </c>
      <c r="J1423">
        <v>91.28</v>
      </c>
      <c r="K1423">
        <v>80.11</v>
      </c>
      <c r="L1423">
        <v>33.630000000000003</v>
      </c>
      <c r="M1423">
        <v>17</v>
      </c>
      <c r="N1423">
        <v>23</v>
      </c>
      <c r="O1423">
        <v>0</v>
      </c>
      <c r="R1423">
        <f t="shared" si="44"/>
        <v>11.170000000000002</v>
      </c>
      <c r="S1423" s="3">
        <f t="shared" si="45"/>
        <v>0.85694999999999988</v>
      </c>
    </row>
  </sheetData>
  <mergeCells count="4">
    <mergeCell ref="A3:P3"/>
    <mergeCell ref="Q3:T3"/>
    <mergeCell ref="A2:T2"/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Vaccination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Hari Subedi</dc:creator>
  <cp:lastModifiedBy>SHIVA HARI SUBEDI</cp:lastModifiedBy>
  <dcterms:created xsi:type="dcterms:W3CDTF">2025-10-14T03:38:38Z</dcterms:created>
  <dcterms:modified xsi:type="dcterms:W3CDTF">2025-11-04T08:17:45Z</dcterms:modified>
</cp:coreProperties>
</file>